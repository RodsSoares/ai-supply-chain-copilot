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f27ca5cae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a8203cbbc97e4f51"/>
    <x:sheet xmlns:r="http://schemas.openxmlformats.org/officeDocument/2006/relationships" name="Cronograma Gantt" sheetId="2" r:id="R3f0d179385e845e9"/>
    <x:sheet xmlns:r="http://schemas.openxmlformats.org/officeDocument/2006/relationships" name="Backlog" sheetId="3" r:id="Rc391d12992a44273"/>
    <x:sheet xmlns:r="http://schemas.openxmlformats.org/officeDocument/2006/relationships" name="Guia de uso" sheetId="4" r:id="R4ed0577eff914e47"/>
    <x:sheet xmlns:r="http://schemas.openxmlformats.org/officeDocument/2006/relationships" name="Plano Diário" sheetId="5" r:id="R901d00cf4260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dd/mm"/>
    <x:numFmt numFmtId="165" formatCode="0&quot;%&quot;"/>
    <x:numFmt numFmtId="166" formatCode="0.0"/>
    <x:numFmt numFmtId="167" formatCode="0.0%"/>
    <x:numFmt numFmtId="200" formatCode="dd/mm/yyyy"/>
    <x:numFmt numFmtId="201" formatCode="0%"/>
    <x:numFmt numFmtId="202" formatCode="&quot;S&quot;0"/>
    <x:numFmt numFmtId="203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23B5D"/>
      <x:name val="Carlito"/>
    </x:font>
    <x:font>
      <x:b/>
      <x:sz val="11"/>
      <x:color rgb="FF1F1F1F"/>
      <x:name val="Carlito"/>
    </x:font>
    <x:font>
      <x:b/>
      <x:sz val="16"/>
      <x:color rgb="FF1F1F1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6E8C"/>
      </x:patternFill>
    </x:fill>
    <x:fill>
      <x:patternFill patternType="solid">
        <x:fgColor rgb="FFDDEB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173F5F"/>
      </x:patternFill>
    </x:fill>
    <x:fill>
      <x:patternFill patternType="solid">
        <x:fgColor rgb="FF247BA0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FFE699"/>
      </x:patternFill>
    </x:fill>
    <x:fill>
      <x:patternFill patternType="solid">
        <x:fgColor rgb="FFE7E6E6"/>
      </x:patternFill>
    </x:fill>
  </x:fills>
  <x:borders count="54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/>
    <x:border/>
    <x:border/>
    <x:border/>
    <x:border/>
    <x:border/>
    <x:border/>
    <x:border/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63">
    <x:xf numFmtId="0" fontId="0" fillId="0" borderId="0" xfId="0"/>
    <x:xf numFmtId="0" fontId="0" fillId="0" borderId="0" xfId="0" applyAlignment="1">
      <x:alignment wrapText="1"/>
    </x:xf>
    <x:xf numFmtId="0" fontId="2" fillId="3" borderId="1" xfId="0" applyFont="1" applyFill="1" applyBorder="1" applyAlignment="1">
      <x:alignment horizontal="center" wrapText="1"/>
    </x:xf>
    <x:xf numFmtId="0" fontId="2" fillId="3" borderId="2" xfId="0" applyFont="1" applyFill="1" applyBorder="1" applyAlignment="1">
      <x:alignment horizontal="center" wrapText="1"/>
    </x:xf>
    <x:xf numFmtId="0" fontId="2" fillId="3" borderId="0" xfId="0" applyFont="1" applyFill="1" applyAlignment="1">
      <x:alignment horizontal="center" wrapText="1"/>
    </x:xf>
    <x:xf numFmtId="0" fontId="3" fillId="4" borderId="3" xfId="0" applyFont="1" applyFill="1" applyBorder="1" applyAlignment="1">
      <x:alignment wrapText="1"/>
    </x:xf>
    <x:xf numFmtId="14" fontId="0" fillId="0" borderId="4" xfId="0" applyNumberFormat="1" applyBorder="1" applyAlignment="1">
      <x:alignment wrapText="1"/>
    </x:xf>
    <x:xf numFmtId="0" fontId="0" fillId="0" borderId="4" xfId="0" applyBorder="1" applyAlignment="1">
      <x:alignment wrapText="1"/>
    </x:xf>
    <x:xf numFmtId="0" fontId="3" fillId="4" borderId="5" xfId="0" applyFont="1" applyFill="1" applyBorder="1" applyAlignment="1">
      <x:alignment wrapText="1"/>
    </x:xf>
    <x:xf numFmtId="0" fontId="0" fillId="0" borderId="6" xfId="0" applyBorder="1" applyAlignment="1">
      <x:alignment wrapText="1"/>
    </x:xf>
    <x:xf numFmtId="0" fontId="2" fillId="6" borderId="7" xfId="0" applyFont="1" applyFill="1" applyBorder="1" applyAlignment="1">
      <x:alignment wrapText="1"/>
    </x:xf>
    <x:xf numFmtId="0" fontId="2" fillId="6" borderId="8" xfId="0" applyFont="1" applyFill="1" applyBorder="1" applyAlignment="1">
      <x:alignment wrapText="1"/>
    </x:xf>
    <x:xf numFmtId="0" fontId="2" fillId="6" borderId="9" xfId="0" applyFont="1" applyFill="1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2" fillId="3" borderId="0" xfId="0" applyFont="1" applyFill="1" applyAlignment="1">
      <x:alignment horizontal="center" vertical="center" wrapText="1"/>
    </x:xf>
    <x:xf numFmtId="164" fontId="5" fillId="4" borderId="0" xfId="0" applyNumberFormat="1" applyFont="1" applyFill="1" applyAlignment="1">
      <x:alignment horizontal="center"/>
    </x:xf>
    <x:xf numFmtId="0" fontId="0" fillId="0" borderId="15" xfId="0" applyBorder="1" applyAlignment="1">
      <x:alignment wrapText="1"/>
    </x:xf>
    <x:xf numFmtId="0" fontId="0" fillId="0" borderId="16" xfId="0" applyBorder="1" applyAlignment="1">
      <x:alignment wrapText="1"/>
    </x:xf>
    <x:xf numFmtId="14" fontId="0" fillId="0" borderId="16" xfId="0" applyNumberFormat="1" applyBorder="1" applyAlignment="1">
      <x:alignment wrapText="1"/>
    </x:xf>
    <x:xf numFmtId="0" fontId="0" fillId="0" borderId="17" xfId="0" applyBorder="1" applyAlignment="1">
      <x:alignment wrapText="1"/>
    </x:xf>
    <x:xf numFmtId="0" fontId="0" fillId="0" borderId="18" xfId="0" applyBorder="1" applyAlignment="1">
      <x:alignment wrapText="1"/>
    </x:xf>
    <x:xf numFmtId="14" fontId="0" fillId="0" borderId="0" xfId="0" applyNumberFormat="1" applyAlignment="1">
      <x:alignment wrapText="1"/>
    </x:xf>
    <x:xf numFmtId="0" fontId="0" fillId="0" borderId="19" xfId="0" applyBorder="1" applyAlignment="1">
      <x:alignment wrapText="1"/>
    </x:xf>
    <x:xf numFmtId="0" fontId="0" fillId="0" borderId="20" xfId="0" applyBorder="1" applyAlignment="1">
      <x:alignment wrapText="1"/>
    </x:xf>
    <x:xf numFmtId="0" fontId="0" fillId="0" borderId="21" xfId="0" applyBorder="1" applyAlignment="1">
      <x:alignment wrapText="1"/>
    </x:xf>
    <x:xf numFmtId="14" fontId="0" fillId="0" borderId="21" xfId="0" applyNumberFormat="1" applyBorder="1" applyAlignment="1">
      <x:alignment wrapText="1"/>
    </x:xf>
    <x:xf numFmtId="0" fontId="0" fillId="0" borderId="22" xfId="0" applyBorder="1" applyAlignment="1">
      <x:alignment wrapText="1"/>
    </x:xf>
    <x:xf numFmtId="165" fontId="0" fillId="0" borderId="0" xfId="0" applyNumberFormat="1" applyAlignment="1">
      <x:alignment wrapText="1"/>
    </x:xf>
    <x:xf numFmtId="0" fontId="2" fillId="3" borderId="15" xfId="0" applyFont="1" applyFill="1" applyBorder="1" applyAlignment="1">
      <x:alignment horizontal="center" wrapText="1"/>
    </x:xf>
    <x:xf numFmtId="0" fontId="2" fillId="3" borderId="16" xfId="0" applyFont="1" applyFill="1" applyBorder="1" applyAlignment="1">
      <x:alignment horizontal="center" wrapText="1"/>
    </x:xf>
    <x:xf numFmtId="0" fontId="2" fillId="3" borderId="17" xfId="0" applyFont="1" applyFill="1" applyBorder="1" applyAlignment="1">
      <x:alignment horizontal="center" wrapText="1"/>
    </x:xf>
    <x:xf numFmtId="9" fontId="0" fillId="0" borderId="0" xfId="0" applyNumberFormat="1"/>
    <x:xf numFmtId="0" fontId="2" fillId="8" borderId="0" xfId="0" applyFont="1" applyFill="1" applyAlignment="1">
      <x:alignment horizontal="center" vertical="center"/>
    </x:xf>
    <x:xf numFmtId="166" fontId="0" fillId="0" borderId="0" xfId="0" applyNumberFormat="1" applyAlignment="1">
      <x:alignment wrapText="1"/>
    </x:xf>
    <x:xf numFmtId="9" fontId="0" fillId="0" borderId="0" xfId="0" applyNumberFormat="1" applyAlignment="1">
      <x:alignment wrapText="1"/>
    </x:xf>
    <x:xf numFmtId="0" fontId="2" fillId="8" borderId="23" xfId="0" applyFont="1" applyFill="1" applyBorder="1" applyAlignment="1">
      <x:alignment horizontal="center" vertical="center"/>
    </x:xf>
    <x:xf numFmtId="0" fontId="2" fillId="8" borderId="24" xfId="0" applyFont="1" applyFill="1" applyBorder="1" applyAlignment="1">
      <x:alignment horizontal="center" vertical="center"/>
    </x:xf>
    <x:xf numFmtId="0" fontId="2" fillId="8" borderId="25" xfId="0" applyFont="1" applyFill="1" applyBorder="1" applyAlignment="1">
      <x:alignment horizontal="center" vertical="center"/>
    </x:xf>
    <x:xf numFmtId="0" fontId="0" fillId="0" borderId="26" xfId="0" applyBorder="1" applyAlignment="1">
      <x:alignment wrapText="1"/>
    </x:xf>
    <x:xf numFmtId="0" fontId="0" fillId="0" borderId="27" xfId="0" applyBorder="1" applyAlignment="1">
      <x:alignment wrapText="1"/>
    </x:xf>
    <x:xf numFmtId="0" fontId="0" fillId="0" borderId="28" xfId="0" applyBorder="1" applyAlignment="1">
      <x:alignment wrapText="1"/>
    </x:xf>
    <x:xf numFmtId="14" fontId="0" fillId="0" borderId="29" xfId="0" applyNumberFormat="1" applyBorder="1" applyAlignment="1">
      <x:alignment wrapText="1"/>
    </x:xf>
    <x:xf numFmtId="0" fontId="0" fillId="0" borderId="29" xfId="0" applyBorder="1" applyAlignment="1">
      <x:alignment wrapText="1"/>
    </x:xf>
    <x:xf numFmtId="166" fontId="0" fillId="0" borderId="29" xfId="0" applyNumberFormat="1" applyBorder="1" applyAlignment="1">
      <x:alignment wrapText="1"/>
    </x:xf>
    <x:xf numFmtId="9" fontId="0" fillId="0" borderId="29" xfId="0" applyNumberFormat="1" applyBorder="1" applyAlignment="1">
      <x:alignment wrapText="1"/>
    </x:xf>
    <x:xf numFmtId="0" fontId="0" fillId="0" borderId="30" xfId="0" applyBorder="1" applyAlignment="1">
      <x:alignment wrapText="1"/>
    </x:xf>
    <x:xf numFmtId="0" fontId="2" fillId="8" borderId="23" xfId="0" applyFont="1" applyFill="1" applyBorder="1" applyAlignment="1">
      <x:alignment horizontal="center" vertical="center" wrapText="1"/>
    </x:xf>
    <x:xf numFmtId="0" fontId="2" fillId="8" borderId="25" xfId="0" applyFont="1" applyFill="1" applyBorder="1" applyAlignment="1">
      <x:alignment horizontal="center" vertical="center" wrapText="1"/>
    </x:xf>
    <x:xf numFmtId="0" fontId="0" fillId="0" borderId="26" xfId="0" applyBorder="1"/>
    <x:xf numFmtId="0" fontId="0" fillId="0" borderId="27" xfId="0" applyBorder="1"/>
    <x:xf numFmtId="0" fontId="0" fillId="0" borderId="28" xfId="0" applyBorder="1"/>
    <x:xf numFmtId="0" fontId="0" fillId="0" borderId="30" xfId="0" applyBorder="1"/>
    <x:xf numFmtId="167" fontId="0" fillId="0" borderId="27" xfId="0" applyNumberFormat="1" applyBorder="1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wrapText="1"/>
    </x:xf>
    <x:xf numFmtId="0" fontId="0" fillId="5" borderId="0" xfId="0" applyFill="1" applyAlignment="1">
      <x:alignment horizontal="left" vertical="center" wrapText="1"/>
    </x:xf>
    <x:xf numFmtId="0" fontId="2" fillId="2" borderId="0" xfId="0" applyFont="1" applyFill="1" applyAlignment="1">
      <x:alignment horizontal="center" wrapText="1"/>
    </x:xf>
    <x:xf numFmtId="0" fontId="4" fillId="7" borderId="0" xfId="0" applyFont="1" applyFill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 applyAlignment="1">
      <x:alignment horizontal="center"/>
    </x:xf>
    <x:xf numFmtId="0" fontId="4" fillId="7" borderId="0" xfId="0" applyFont="1" applyFill="1" applyAlignment="1">
      <x:alignment horizontal="center" vertical="center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 applyAlignment="1">
      <x:alignment wrapText="1"/>
    </x:xf>
    <x:xf numFmtId="0" fontId="2" fillId="3" borderId="32" xfId="0" applyNumberFormat="1" applyFont="1" applyFill="1" applyBorder="1" applyAlignment="1">
      <x:alignment horizontal="center" wrapText="1"/>
    </x:xf>
    <x:xf numFmtId="0" fontId="2" fillId="3" borderId="33" xfId="0" applyNumberFormat="1" applyFont="1" applyFill="1" applyBorder="1" applyAlignment="1">
      <x:alignment horizontal="center" wrapText="1"/>
    </x:xf>
    <x:xf numFmtId="0" fontId="2" fillId="3" borderId="31" xfId="0" applyNumberFormat="1" applyFont="1" applyFill="1" applyBorder="1" applyAlignment="1">
      <x:alignment horizontal="center" wrapText="1"/>
    </x:xf>
    <x:xf numFmtId="0" fontId="3" fillId="4" borderId="34" xfId="0" applyNumberFormat="1" applyFont="1" applyFill="1" applyBorder="1" applyAlignment="1">
      <x:alignment wrapText="1"/>
    </x:xf>
    <x:xf numFmtId="14" fontId="0" fillId="0" borderId="35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3" fillId="4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2" fillId="6" borderId="38" xfId="0" applyNumberFormat="1" applyFont="1" applyFill="1" applyBorder="1" applyAlignment="1">
      <x:alignment wrapText="1"/>
    </x:xf>
    <x:xf numFmtId="0" fontId="2" fillId="6" borderId="39" xfId="0" applyNumberFormat="1" applyFont="1" applyFill="1" applyBorder="1" applyAlignment="1">
      <x:alignment wrapText="1"/>
    </x:xf>
    <x:xf numFmtId="0" fontId="2" fillId="6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2" fillId="3" borderId="31" xfId="0" applyNumberFormat="1" applyFont="1" applyFill="1" applyBorder="1" applyAlignment="1">
      <x:alignment horizontal="center" vertical="center" wrapText="1"/>
    </x:xf>
    <x:xf numFmtId="164" fontId="5" fillId="4" borderId="31" xfId="0" applyNumberFormat="1" applyFont="1" applyFill="1" applyBorder="1" applyAlignment="1">
      <x:alignment horizontal="center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14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14" fontId="0" fillId="0" borderId="31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14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165" fontId="0" fillId="0" borderId="31" xfId="0" applyNumberFormat="1" applyFont="1" applyFill="1" applyBorder="1" applyAlignment="1">
      <x:alignment wrapText="1"/>
    </x:xf>
    <x:xf numFmtId="0" fontId="2" fillId="3" borderId="46" xfId="0" applyNumberFormat="1" applyFont="1" applyFill="1" applyBorder="1" applyAlignment="1">
      <x:alignment horizontal="center" wrapText="1"/>
    </x:xf>
    <x:xf numFmtId="0" fontId="2" fillId="3" borderId="47" xfId="0" applyNumberFormat="1" applyFont="1" applyFill="1" applyBorder="1" applyAlignment="1">
      <x:alignment horizontal="center" wrapText="1"/>
    </x:xf>
    <x:xf numFmtId="0" fontId="2" fillId="3" borderId="48" xfId="0" applyNumberFormat="1" applyFont="1" applyFill="1" applyBorder="1" applyAlignment="1">
      <x:alignment horizontal="center" wrapText="1"/>
    </x:xf>
    <x:xf numFmtId="9" fontId="0" fillId="0" borderId="31" xfId="0" applyNumberFormat="1" applyFont="1" applyFill="1" applyBorder="1"/>
    <x:xf numFmtId="0" fontId="2" fillId="8" borderId="31" xfId="0" applyNumberFormat="1" applyFont="1" applyFill="1" applyBorder="1" applyAlignment="1">
      <x:alignment horizontal="center" vertical="center"/>
    </x:xf>
    <x:xf numFmtId="166" fontId="0" fillId="0" borderId="31" xfId="0" applyNumberFormat="1" applyFont="1" applyFill="1" applyBorder="1" applyAlignment="1">
      <x:alignment wrapText="1"/>
    </x:xf>
    <x:xf numFmtId="9" fontId="0" fillId="0" borderId="31" xfId="0" applyNumberFormat="1" applyFont="1" applyFill="1" applyBorder="1" applyAlignment="1">
      <x:alignment wrapText="1"/>
    </x:xf>
    <x:xf numFmtId="0" fontId="2" fillId="8" borderId="31" xfId="0" applyNumberFormat="1" applyFont="1" applyFill="1" applyBorder="1" applyAlignment="1">
      <x:alignment horizontal="center" vertical="center" wrapText="1"/>
    </x:xf>
    <x:xf numFmtId="167" fontId="0" fillId="0" borderId="31" xfId="0" applyNumberFormat="1" applyFont="1" applyFill="1" applyBorder="1"/>
    <x:xf numFmtId="0" fontId="1" fillId="2" borderId="31" xfId="0" applyNumberFormat="1" applyFont="1" applyFill="1" applyBorder="1" applyAlignment="1">
      <x:alignment horizontal="center" vertical="center" wrapText="1"/>
    </x:xf>
    <x:xf numFmtId="0" fontId="0" fillId="5" borderId="31" xfId="0" applyNumberFormat="1" applyFont="1" applyFill="1" applyBorder="1" applyAlignment="1">
      <x:alignment horizontal="left" vertical="center" wrapText="1"/>
    </x:xf>
    <x:xf numFmtId="0" fontId="2" fillId="2" borderId="31" xfId="0" applyNumberFormat="1" applyFont="1" applyFill="1" applyBorder="1" applyAlignment="1">
      <x:alignment horizontal="center" wrapText="1"/>
    </x:xf>
    <x:xf numFmtId="0" fontId="4" fillId="7" borderId="31" xfId="0" applyNumberFormat="1" applyFont="1" applyFill="1" applyBorder="1" applyAlignment="1">
      <x:alignment horizontal="center" vertical="center" wrapText="1"/>
    </x:xf>
    <x:xf numFmtId="0" fontId="4" fillId="2" borderId="31" xfId="0" applyNumberFormat="1" applyFont="1" applyFill="1" applyBorder="1" applyAlignment="1">
      <x:alignment horizontal="center" vertical="center"/>
    </x:xf>
    <x:xf numFmtId="0" fontId="4" fillId="2" borderId="31" xfId="0" applyNumberFormat="1" applyFont="1" applyFill="1" applyBorder="1" applyAlignment="1">
      <x:alignment horizontal="center"/>
    </x:xf>
    <x:xf numFmtId="0" fontId="4" fillId="7" borderId="3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3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3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2" xfId="0" applyNumberFormat="1" applyFont="1" applyFill="1" applyBorder="1" applyAlignment="1">
      <x:alignment horizontal="center" wrapText="1"/>
    </x:xf>
    <x:xf numFmtId="0" fontId="2" fillId="10" borderId="32" xfId="0" applyNumberFormat="1" applyFont="1" applyFill="1" applyBorder="1" applyAlignment="1">
      <x:alignment horizontal="center" wrapText="1"/>
    </x:xf>
    <x:xf numFmtId="0" fontId="2" fillId="10" borderId="33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2" xfId="0" applyNumberFormat="1" applyFont="1" applyFill="1" applyBorder="1" applyAlignment="1">
      <x:alignment horizontal="center" vertical="center" wrapText="1"/>
    </x:xf>
    <x:xf numFmtId="0" fontId="2" fillId="10" borderId="33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31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31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wrapText="1"/>
    </x:xf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38" xfId="0" applyNumberFormat="1" applyFont="1" applyFill="1" applyBorder="1" applyAlignment="1">
      <x:alignment wrapText="1"/>
    </x:xf>
    <x:xf numFmtId="0" fontId="2" fillId="10" borderId="39" xfId="0" applyNumberFormat="1" applyFont="1" applyFill="1" applyBorder="1" applyAlignment="1">
      <x:alignment wrapText="1"/>
    </x:xf>
    <x:xf numFmtId="0" fontId="2" fillId="10" borderId="40" xfId="0" applyNumberFormat="1" applyFont="1" applyFill="1" applyBorder="1" applyAlignment="1">
      <x:alignment wrapText="1"/>
    </x:xf>
    <x:xf numFmtId="0" fontId="2" fillId="10" borderId="7" xfId="0" applyNumberFormat="1" applyFont="1" applyFill="1" applyBorder="1" applyAlignment="1">
      <x:alignment horizontal="center" wrapText="1"/>
    </x:xf>
    <x:xf numFmtId="0" fontId="2" fillId="10" borderId="8" xfId="0" applyNumberFormat="1" applyFont="1" applyFill="1" applyBorder="1" applyAlignment="1">
      <x:alignment horizontal="center" wrapText="1"/>
    </x:xf>
    <x:xf numFmtId="0" fontId="2" fillId="10" borderId="9" xfId="0" applyNumberFormat="1" applyFont="1" applyFill="1" applyBorder="1" applyAlignment="1">
      <x:alignment horizontal="center" wrapText="1"/>
    </x:xf>
    <x:xf numFmtId="0" fontId="2" fillId="10" borderId="38" xfId="0" applyNumberFormat="1" applyFont="1" applyFill="1" applyBorder="1" applyAlignment="1">
      <x:alignment horizontal="center" wrapText="1"/>
    </x:xf>
    <x:xf numFmtId="0" fontId="2" fillId="10" borderId="39" xfId="0" applyNumberFormat="1" applyFont="1" applyFill="1" applyBorder="1" applyAlignment="1">
      <x:alignment horizontal="center" wrapText="1"/>
    </x:xf>
    <x:xf numFmtId="0" fontId="2" fillId="10" borderId="40" xfId="0" applyNumberFormat="1" applyFont="1" applyFill="1" applyBorder="1" applyAlignment="1">
      <x:alignment horizontal="center" wrapText="1"/>
    </x:xf>
    <x:xf numFmtId="0" fontId="2" fillId="10" borderId="7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 applyAlignment="1">
      <x:alignment horizontal="center" vertical="center" wrapText="1"/>
    </x:xf>
    <x:xf numFmtId="0" fontId="2" fillId="10" borderId="9" xfId="0" applyNumberFormat="1" applyFont="1" applyFill="1" applyBorder="1" applyAlignment="1">
      <x:alignment horizontal="center" vertical="center" wrapText="1"/>
    </x:xf>
    <x:xf numFmtId="0" fontId="2" fillId="10" borderId="38" xfId="0" applyNumberFormat="1" applyFont="1" applyFill="1" applyBorder="1" applyAlignment="1">
      <x:alignment horizontal="center" vertical="center" wrapText="1"/>
    </x:xf>
    <x:xf numFmtId="0" fontId="2" fillId="10" borderId="39" xfId="0" applyNumberFormat="1" applyFont="1" applyFill="1" applyBorder="1" applyAlignment="1">
      <x:alignment horizontal="center" vertical="center" wrapText="1"/>
    </x:xf>
    <x:xf numFmtId="0" fontId="2" fillId="10" borderId="4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31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31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31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31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31" xfId="0" applyNumberFormat="1" applyFont="1" applyFill="1" applyBorder="1"/>
    <x:xf numFmtId="200" fontId="0" fillId="0" borderId="4" xfId="0" applyNumberFormat="1" applyFont="1" applyFill="1" applyBorder="1" applyAlignment="1">
      <x:alignment wrapText="1"/>
    </x:xf>
    <x:xf numFmtId="200" fontId="0" fillId="0" borderId="3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3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wrapText="1"/>
    </x:xf>
    <x:xf numFmtId="201" fontId="0" fillId="0" borderId="31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31" xfId="0" applyNumberFormat="1" applyFont="1" applyFill="1" applyBorder="1" applyAlignment="1">
      <x:alignment horizontal="center" vertical="center"/>
    </x:xf>
    <x:xf numFmtId="164" fontId="5" fillId="12" borderId="0" xfId="0" applyNumberFormat="1" applyFont="1" applyFill="1" applyBorder="1" applyAlignment="1">
      <x:alignment horizontal="center"/>
    </x:xf>
    <x:xf numFmtId="164" fontId="5" fillId="12" borderId="31" xfId="0" applyNumberFormat="1" applyFont="1" applyFill="1" applyBorder="1" applyAlignment="1">
      <x:alignment horizontal="center"/>
    </x:xf>
    <x:xf numFmtId="202" fontId="5" fillId="12" borderId="0" xfId="0" applyNumberFormat="1" applyFont="1" applyFill="1" applyBorder="1" applyAlignment="1">
      <x:alignment horizontal="center"/>
    </x:xf>
    <x:xf numFmtId="202" fontId="5" fillId="12" borderId="31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47" xfId="0" applyNumberFormat="1" applyFont="1" applyFill="1" applyBorder="1" applyAlignment="1">
      <x:alignment wrapText="1"/>
    </x:xf>
    <x:xf numFmtId="200" fontId="0" fillId="0" borderId="3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47" xfId="0" applyNumberFormat="1" applyFont="1" applyFill="1" applyBorder="1" applyAlignment="1">
      <x:alignment wrapText="1"/>
    </x:xf>
    <x:xf numFmtId="0" fontId="3" fillId="13" borderId="16" xfId="0" applyNumberFormat="1" applyFont="1" applyFill="1" applyBorder="1" applyAlignment="1">
      <x:alignment wrapText="1"/>
    </x:xf>
    <x:xf numFmtId="0" fontId="3" fillId="13" borderId="47" xfId="0" applyNumberFormat="1" applyFont="1" applyFill="1" applyBorder="1" applyAlignment="1">
      <x:alignment wrapText="1"/>
    </x:xf>
    <x:xf numFmtId="0" fontId="3" fillId="13" borderId="16" xfId="0" applyNumberFormat="1" applyFont="1" applyFill="1" applyBorder="1" applyAlignment="1">
      <x:alignment horizontal="center" wrapText="1"/>
    </x:xf>
    <x:xf numFmtId="0" fontId="3" fillId="13" borderId="47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47" xfId="0" applyNumberFormat="1" applyFont="1" applyFill="1" applyBorder="1" applyAlignment="1">
      <x:alignment horizontal="center" wrapText="1"/>
    </x:xf>
    <x:xf numFmtId="0" fontId="0" fillId="13" borderId="16" xfId="0" applyNumberFormat="1" applyFont="1" applyFill="1" applyBorder="1" applyAlignment="1">
      <x:alignment horizontal="center" wrapText="1"/>
    </x:xf>
    <x:xf numFmtId="0" fontId="0" fillId="13" borderId="47" xfId="0" applyNumberFormat="1" applyFont="1" applyFill="1" applyBorder="1" applyAlignment="1">
      <x:alignment horizontal="center" wrapText="1"/>
    </x:xf>
    <x:xf numFmtId="0" fontId="6" fillId="13" borderId="16" xfId="0" applyNumberFormat="1" applyFont="1" applyFill="1" applyBorder="1" applyAlignment="1">
      <x:alignment horizontal="center" wrapText="1"/>
    </x:xf>
    <x:xf numFmtId="0" fontId="6" fillId="13" borderId="47" xfId="0" applyNumberFormat="1" applyFont="1" applyFill="1" applyBorder="1" applyAlignment="1">
      <x:alignment horizontal="center" wrapText="1"/>
    </x:xf>
    <x:xf numFmtId="0" fontId="0" fillId="14" borderId="16" xfId="0" applyNumberFormat="1" applyFont="1" applyFill="1" applyBorder="1" applyAlignment="1">
      <x:alignment horizontal="center" wrapText="1"/>
    </x:xf>
    <x:xf numFmtId="0" fontId="0" fillId="14" borderId="47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31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31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3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3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horizontal="center" wrapText="1"/>
    </x:xf>
    <x:xf numFmtId="0" fontId="0" fillId="13" borderId="31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31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horizontal="center" wrapText="1"/>
    </x:xf>
    <x:xf numFmtId="0" fontId="0" fillId="14" borderId="31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wrapText="1"/>
    </x:xf>
    <x:xf numFmtId="0" fontId="0" fillId="15" borderId="31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wrapText="1"/>
    </x:xf>
    <x:xf numFmtId="0" fontId="3" fillId="15" borderId="31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31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horizontal="center" wrapText="1"/>
    </x:xf>
    <x:xf numFmtId="0" fontId="0" fillId="15" borderId="31" xfId="0" applyNumberFormat="1" applyFont="1" applyFill="1" applyBorder="1" applyAlignment="1">
      <x:alignment horizontal="center" wrapText="1"/>
    </x:xf>
    <x:xf numFmtId="0" fontId="6" fillId="15" borderId="0" xfId="0" applyNumberFormat="1" applyFont="1" applyFill="1" applyBorder="1" applyAlignment="1">
      <x:alignment horizontal="center" wrapText="1"/>
    </x:xf>
    <x:xf numFmtId="0" fontId="6" fillId="15" borderId="31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31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wrapText="1"/>
    </x:xf>
    <x:xf numFmtId="0" fontId="3" fillId="16" borderId="31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3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horizontal="center" wrapText="1"/>
    </x:xf>
    <x:xf numFmtId="0" fontId="0" fillId="10" borderId="31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/>
    </x:xf>
    <x:xf numFmtId="0" fontId="4" fillId="9" borderId="31" xfId="0" applyNumberFormat="1" applyFont="1" applyFill="1" applyBorder="1" applyAlignment="1">
      <x:alignment horizontal="center"/>
    </x:xf>
    <x:xf numFmtId="165" fontId="0" fillId="0" borderId="0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horizontal="center" wrapText="1"/>
    </x:xf>
    <x:xf numFmtId="0" fontId="2" fillId="10" borderId="16" xfId="0" applyNumberFormat="1" applyFont="1" applyFill="1" applyBorder="1" applyAlignment="1">
      <x:alignment horizontal="center" wrapText="1"/>
    </x:xf>
    <x:xf numFmtId="0" fontId="2" fillId="10" borderId="17" xfId="0" applyNumberFormat="1" applyFont="1" applyFill="1" applyBorder="1" applyAlignment="1">
      <x:alignment horizontal="center" wrapText="1"/>
    </x:xf>
    <x:xf numFmtId="0" fontId="2" fillId="10" borderId="46" xfId="0" applyNumberFormat="1" applyFont="1" applyFill="1" applyBorder="1" applyAlignment="1">
      <x:alignment horizontal="center" wrapText="1"/>
    </x:xf>
    <x:xf numFmtId="0" fontId="2" fillId="10" borderId="47" xfId="0" applyNumberFormat="1" applyFont="1" applyFill="1" applyBorder="1" applyAlignment="1">
      <x:alignment horizontal="center" wrapText="1"/>
    </x:xf>
    <x:xf numFmtId="0" fontId="2" fillId="10" borderId="48" xfId="0" applyNumberFormat="1" applyFont="1" applyFill="1" applyBorder="1" applyAlignment="1">
      <x:alignment horizontal="center" wrapText="1"/>
    </x:xf>
    <x:xf numFmtId="0" fontId="2" fillId="10" borderId="15" xfId="0" applyNumberFormat="1" applyFont="1" applyFill="1" applyBorder="1" applyAlignment="1">
      <x:alignment horizontal="center" vertical="center" wrapText="1"/>
    </x:xf>
    <x:xf numFmtId="0" fontId="2" fillId="10" borderId="16" xfId="0" applyNumberFormat="1" applyFont="1" applyFill="1" applyBorder="1" applyAlignment="1">
      <x:alignment horizontal="center" vertical="center" wrapText="1"/>
    </x:xf>
    <x:xf numFmtId="0" fontId="2" fillId="10" borderId="17" xfId="0" applyNumberFormat="1" applyFont="1" applyFill="1" applyBorder="1" applyAlignment="1">
      <x:alignment horizontal="center" vertical="center" wrapText="1"/>
    </x:xf>
    <x:xf numFmtId="0" fontId="2" fillId="10" borderId="46" xfId="0" applyNumberFormat="1" applyFont="1" applyFill="1" applyBorder="1" applyAlignment="1">
      <x:alignment horizontal="center" vertical="center" wrapText="1"/>
    </x:xf>
    <x:xf numFmtId="0" fontId="2" fillId="10" borderId="47" xfId="0" applyNumberFormat="1" applyFont="1" applyFill="1" applyBorder="1" applyAlignment="1">
      <x:alignment horizontal="center" vertical="center" wrapText="1"/>
    </x:xf>
    <x:xf numFmtId="0" fontId="2" fillId="10" borderId="4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/>
    </x:xf>
    <x:xf numFmtId="0" fontId="2" fillId="10" borderId="31" xfId="0" applyNumberFormat="1" applyFont="1" applyFill="1" applyBorder="1" applyAlignment="1">
      <x:alignment horizontal="center" vertical="center"/>
    </x:xf>
    <x:xf numFmtId="9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203" fontId="5" fillId="12" borderId="0" xfId="0" applyNumberFormat="1" applyFont="1" applyFill="1" applyBorder="1" applyAlignment="1">
      <x:alignment horizontal="center"/>
    </x:xf>
    <x:xf numFmtId="203" fontId="5" fillId="12" borderId="31" xfId="0" applyNumberFormat="1" applyFont="1" applyFill="1" applyBorder="1" applyAlignment="1">
      <x:alignment horizontal="center"/>
    </x:xf>
  </x:cellXfs>
  <x:cellStyles count="1">
    <x:cellStyle name="Normal" xfId="0"/>
  </x:cellStyles>
  <x:dxfs count="14"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6e88938444f19" /><Relationship Type="http://schemas.openxmlformats.org/officeDocument/2006/relationships/theme" Target="/xl/theme/theme1.xml" Id="R372c5adbd62d425d" /><Relationship Type="http://schemas.openxmlformats.org/officeDocument/2006/relationships/sharedStrings" Target="/xl/sharedStrings.xml" Id="R1e71b8b2a71d4c9d" /><Relationship Type="http://schemas.openxmlformats.org/officeDocument/2006/relationships/worksheet" Target="/xl/worksheets/sheet1.xml" Id="Ra8203cbbc97e4f51" /><Relationship Type="http://schemas.openxmlformats.org/officeDocument/2006/relationships/worksheet" Target="/xl/worksheets/sheet2.xml" Id="R3f0d179385e845e9" /><Relationship Type="http://schemas.openxmlformats.org/officeDocument/2006/relationships/worksheet" Target="/xl/worksheets/sheet3.xml" Id="Rc391d12992a44273" /><Relationship Type="http://schemas.openxmlformats.org/officeDocument/2006/relationships/worksheet" Target="/xl/worksheets/sheet4.xml" Id="R4ed0577eff914e47" /><Relationship Type="http://schemas.openxmlformats.org/officeDocument/2006/relationships/worksheet" Target="/xl/worksheets/sheet5.xml" Id="R901d00cf4260452f" /></Relationships>
</file>

<file path=xl/tables/table1.xml><?xml version="1.0" encoding="utf-8"?>
<x:table xmlns:x="http://schemas.openxmlformats.org/spreadsheetml/2006/main" id="1" name="CronogramaTable" displayName="CronogramaTable" ref="A3:J23">
  <x:tableColumns count="10">
    <x:tableColumn id="1" name="ID"/>
    <x:tableColumn id="2" name="Fase"/>
    <x:tableColumn id="3" name="Entrega / Atividade"/>
    <x:tableColumn id="4" name="Início"/>
    <x:tableColumn id="5" name="Fim"/>
    <x:tableColumn id="6" name="Duração (sem.)"/>
    <x:tableColumn id="7" name="Responsável"/>
    <x:tableColumn id="8" name="Prioridade"/>
    <x:tableColumn id="9" name="Status"/>
    <x:tableColumn id="10" name="Dependência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3:J23">
  <x:tableColumns count="10">
    <x:tableColumn id="1" name="ID"/>
    <x:tableColumn id="2" name="Entrega"/>
    <x:tableColumn id="3" name="Fase"/>
    <x:tableColumn id="4" name="Critério de aceite"/>
    <x:tableColumn id="5" name="Prioridade"/>
    <x:tableColumn id="6" name="Status"/>
    <x:tableColumn id="7" name="% concluído"/>
    <x:tableColumn id="8" name="Semana alvo"/>
    <x:tableColumn id="9" name="Link/arquivo"/>
    <x:tableColumn id="10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3" name="PlanoDiarioTable" displayName="PlanoDiarioTable" ref="A8:N88">
  <x:tableColumns count="14">
    <x:tableColumn id="1" name="Dia"/>
    <x:tableColumn id="2" name="Data"/>
    <x:tableColumn id="3" name="Semana"/>
    <x:tableColumn id="4" name="Fase"/>
    <x:tableColumn id="5" name="Atividade planejada"/>
    <x:tableColumn id="6" name="Entrega esperada"/>
    <x:tableColumn id="7" name="Tempo estimado (h)"/>
    <x:tableColumn id="8" name="Status"/>
    <x:tableColumn id="9" name="% concluído"/>
    <x:tableColumn id="10" name="O que foi feito"/>
    <x:tableColumn id="11" name="Evidência / commit"/>
    <x:tableColumn id="12" name="Desvio ou bloqueio"/>
    <x:tableColumn id="13" name="Próximo passo"/>
    <x:tableColumn id="14" name="Avaliação do d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88009b4ba545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8a107ec0e143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3a5f49957ee4263" /></Relationships>
</file>

<file path=xl/worksheets/sheet1.xml><?xml version="1.0" encoding="utf-8"?>
<x:worksheet xmlns:x="http://schemas.openxmlformats.org/spreadsheetml/2006/main">
  <x:sheetFormatPr defaultRowHeight="14.25"/>
  <x:cols>
    <x:col min="1" max="1" width="24" hidden="0" customWidth="1"/>
    <x:col min="2" max="2" width="22" hidden="0" customWidth="1"/>
    <x:col min="3" max="3" width="36" hidden="0" customWidth="1"/>
    <x:col min="4" max="8" width="14" customWidth="1"/>
    <x:col min="4" max="4" width="42" hidden="0" customWidth="1"/>
  </x:cols>
  <x:sheetData>
    <x:row r="1" ht="30" customHeight="1">
      <x:c r="A1" s="115" t="str">
        <x:v>AI Supply Chain Copilot — Plano de Execução Atualizado</x:v>
      </x:c>
      <x:c r="B1" s="115"/>
      <x:c r="C1" s="115"/>
      <x:c r="D1" s="115"/>
      <x:c r="E1" s="57"/>
      <x:c r="F1" s="57"/>
      <x:c r="G1" s="57"/>
      <x:c r="H1" s="57"/>
    </x:row>
    <x:row r="2" ht="30" customHeight="1">
      <x:c r="A2" s="115"/>
      <x:c r="B2" s="115"/>
      <x:c r="C2" s="115"/>
      <x:c r="D2" s="115"/>
      <x:c r="E2" s="57"/>
      <x:c r="F2" s="57"/>
      <x:c r="G2" s="57"/>
      <x:c r="H2" s="57"/>
    </x:row>
    <x:row r="3">
      <x:c r="A3" s="163"/>
      <x:c r="B3" s="163"/>
      <x:c r="C3" s="163"/>
      <x:c r="D3" s="163"/>
      <x:c r="E3" s="1"/>
      <x:c r="F3" s="1"/>
      <x:c r="G3" s="1"/>
      <x:c r="H3" s="1"/>
    </x:row>
    <x:row r="4" ht="28" customHeight="1">
      <x:c r="A4" s="121" t="str">
        <x:v>Indicador</x:v>
      </x:c>
      <x:c r="B4" s="122" t="str">
        <x:v>Valor</x:v>
      </x:c>
      <x:c r="C4" s="163"/>
      <x:c r="D4" s="127" t="str">
        <x:v>Princípio de gestão</x:v>
      </x:c>
      <x:c r="E4" s="58"/>
      <x:c r="F4" s="58"/>
      <x:c r="G4" s="58"/>
      <x:c r="H4" s="58"/>
    </x:row>
    <x:row r="5" ht="15">
      <x:c r="A5" s="155" t="str">
        <x:v>Início do projeto</x:v>
      </x:c>
      <x:c r="B5" s="159" t="n">
        <x:v>46226</x:v>
      </x:c>
      <x:c r="C5" s="163"/>
      <x:c r="D5" s="164" t="str">
        <x:v>Planejamento leve, orientado a entregas funcionais.</x:v>
      </x:c>
      <x:c r="E5" s="59"/>
      <x:c r="F5" s="59"/>
      <x:c r="G5" s="59"/>
      <x:c r="H5" s="59"/>
    </x:row>
    <x:row r="6" ht="15">
      <x:c r="A6" s="155" t="str">
        <x:v>Horizonte atual</x:v>
      </x:c>
      <x:c r="B6" s="165" t="str">
        <x:v>8 semanas</x:v>
      </x:c>
      <x:c r="C6" s="163"/>
      <x:c r="D6" s="164" t="str">
        <x:v>Dados totalmente sintéticos e sem conteúdo corporativo confidencial.</x:v>
      </x:c>
      <x:c r="E6" s="59"/>
      <x:c r="F6" s="59"/>
      <x:c r="G6" s="59"/>
      <x:c r="H6" s="59"/>
    </x:row>
    <x:row r="7" ht="15">
      <x:c r="A7" s="155" t="str">
        <x:v>Entregas planejadas</x:v>
      </x:c>
      <x:c r="B7" s="165" t="n">
        <x:v>18</x:v>
      </x:c>
      <x:c r="C7" s="163"/>
      <x:c r="D7" s="164" t="str">
        <x:v>Um dataset consolidado durante o desenvolvimento.</x:v>
      </x:c>
      <x:c r="E7" s="59"/>
      <x:c r="F7" s="59"/>
      <x:c r="G7" s="59"/>
      <x:c r="H7" s="59"/>
    </x:row>
    <x:row r="8" ht="29.25">
      <x:c r="A8" s="156" t="str">
        <x:v>Foco</x:v>
      </x:c>
      <x:c r="B8" s="166" t="str">
        <x:v>Motor de decisão e Copilot de Supply Chain</x:v>
      </x:c>
      <x:c r="C8" s="163"/>
      <x:c r="D8" s="164" t="str">
        <x:v>Refinamentos de gestão somente quando agregarem valor ao produto.</x:v>
      </x:c>
      <x:c r="E8" s="59"/>
      <x:c r="F8" s="59"/>
      <x:c r="G8" s="59"/>
      <x:c r="H8" s="59"/>
    </x:row>
    <x:row r="9">
      <x:c r="A9" s="163"/>
      <x:c r="B9" s="163"/>
      <x:c r="C9" s="163"/>
      <x:c r="D9" s="163"/>
      <x:c r="E9" s="1"/>
      <x:c r="F9" s="1"/>
      <x:c r="G9" s="1"/>
      <x:c r="H9" s="1"/>
    </x:row>
    <x:row r="10">
      <x:c r="A10" s="163"/>
      <x:c r="B10" s="163"/>
      <x:c r="C10" s="163"/>
      <x:c r="D10" s="163"/>
      <x:c r="E10" s="1"/>
      <x:c r="F10" s="1"/>
      <x:c r="G10" s="1"/>
      <x:c r="H10" s="1"/>
    </x:row>
    <x:row r="11" ht="15">
      <x:c r="A11" s="149" t="str">
        <x:v>Marcos do projeto</x:v>
      </x:c>
      <x:c r="B11" s="149"/>
      <x:c r="C11" s="149"/>
      <x:c r="D11" s="167"/>
      <x:c r="E11" s="60"/>
      <x:c r="F11" s="60"/>
      <x:c r="G11" s="60"/>
      <x:c r="H11" s="60"/>
    </x:row>
    <x:row r="12" ht="28" customHeight="1">
      <x:c r="A12" s="141" t="str">
        <x:v>Marco</x:v>
      </x:c>
      <x:c r="B12" s="142" t="str">
        <x:v>Prazo</x:v>
      </x:c>
      <x:c r="C12" s="143" t="str">
        <x:v>Resultado</x:v>
      </x:c>
      <x:c r="D12" s="163"/>
      <x:c r="E12" s="1"/>
      <x:c r="F12" s="1"/>
      <x:c r="G12" s="1"/>
      <x:c r="H12" s="1"/>
    </x:row>
    <x:row r="13">
      <x:c r="A13" s="168" t="str">
        <x:v>M1</x:v>
      </x:c>
      <x:c r="B13" s="163" t="str">
        <x:v>29/07/2026</x:v>
      </x:c>
      <x:c r="C13" s="169" t="str">
        <x:v>Inventory Analytics MVP funcional</x:v>
      </x:c>
      <x:c r="D13" s="163"/>
      <x:c r="E13" s="1"/>
      <x:c r="F13" s="1"/>
      <x:c r="G13" s="1"/>
      <x:c r="H13" s="1"/>
    </x:row>
    <x:row r="14">
      <x:c r="A14" s="168" t="str">
        <x:v>M2</x:v>
      </x:c>
      <x:c r="B14" s="163" t="str">
        <x:v>07/08/2026</x:v>
      </x:c>
      <x:c r="C14" s="169" t="str">
        <x:v>Score multicritério e KPIs ampliados</x:v>
      </x:c>
      <x:c r="D14" s="163"/>
      <x:c r="E14" s="1"/>
      <x:c r="F14" s="1"/>
      <x:c r="G14" s="1"/>
      <x:c r="H14" s="1"/>
    </x:row>
    <x:row r="15">
      <x:c r="A15" s="168" t="str">
        <x:v>M3</x:v>
      </x:c>
      <x:c r="B15" s="163" t="str">
        <x:v>02/09/2026</x:v>
      </x:c>
      <x:c r="C15" s="169" t="str">
        <x:v>Pipeline persistido e dashboard</x:v>
      </x:c>
      <x:c r="D15" s="163"/>
      <x:c r="E15" s="1"/>
      <x:c r="F15" s="1"/>
      <x:c r="G15" s="1"/>
      <x:c r="H15" s="1"/>
    </x:row>
    <x:row r="16">
      <x:c r="A16" s="168" t="str">
        <x:v>M4</x:v>
      </x:c>
      <x:c r="B16" s="163" t="str">
        <x:v>18/09/2026</x:v>
      </x:c>
      <x:c r="C16" s="169" t="str">
        <x:v>Copilot, testes e release v1.0</x:v>
      </x:c>
      <x:c r="D16" s="163"/>
      <x:c r="E16" s="1"/>
      <x:c r="F16" s="1"/>
      <x:c r="G16" s="1"/>
      <x:c r="H16" s="1"/>
    </x:row>
    <x:row r="17">
      <x:c r="A17" s="170"/>
      <x:c r="B17" s="171"/>
      <x:c r="C17" s="172"/>
      <x:c r="D17" s="163"/>
      <x:c r="E17" s="1"/>
      <x:c r="F17" s="1"/>
      <x:c r="G17" s="1"/>
      <x:c r="H17" s="1"/>
    </x:row>
    <x:row r="18">
      <x:c r="A18" s="163"/>
      <x:c r="B18" s="163"/>
      <x:c r="C18" s="163"/>
      <x:c r="D18" s="163"/>
      <x:c r="E18" s="1"/>
      <x:c r="F18" s="1"/>
      <x:c r="G18" s="1"/>
      <x:c r="H18" s="1"/>
    </x:row>
    <x:row r="19" ht="26.100000381469727" customHeight="1">
      <x:c r="A19" s="153" t="str">
        <x:v>Acompanhamento atual</x:v>
      </x:c>
      <x:c r="B19" s="153"/>
      <x:c r="C19" s="173"/>
      <x:c r="D19" s="173"/>
      <x:c r="E19" s="1"/>
      <x:c r="F19" s="1"/>
      <x:c r="G19" s="1"/>
      <x:c r="H19" s="1"/>
    </x:row>
    <x:row r="20" ht="28" customHeight="1">
      <x:c r="A20" s="127" t="str">
        <x:v>Indicador</x:v>
      </x:c>
      <x:c r="B20" s="127" t="str">
        <x:v>Valor</x:v>
      </x:c>
      <x:c r="C20" s="163"/>
      <x:c r="D20" s="163"/>
      <x:c r="E20" s="1"/>
      <x:c r="F20" s="1"/>
      <x:c r="G20" s="1"/>
      <x:c r="H20" s="1"/>
    </x:row>
    <x:row r="21">
      <x:c r="A21" s="174" t="str">
        <x:v>Entregas concluídas</x:v>
      </x:c>
      <x:c r="B21" s="163" t="n">
        <x:f>COUNTIF('Backlog'!F4:F21,"Concluído")</x:f>
        <x:v>7</x:v>
      </x:c>
      <x:c r="C21" s="163"/>
      <x:c r="D21" s="163"/>
    </x:row>
    <x:row r="22">
      <x:c r="A22" s="174" t="str">
        <x:v>Entregas em andamento</x:v>
      </x:c>
      <x:c r="B22" s="163" t="n">
        <x:f>COUNTIF('Backlog'!F4:F21,"Em andamento")</x:f>
        <x:v>1</x:v>
      </x:c>
      <x:c r="C22" s="163"/>
      <x:c r="D22" s="163"/>
    </x:row>
    <x:row r="23">
      <x:c r="A23" s="174" t="str">
        <x:v>Progresso médio</x:v>
      </x:c>
      <x:c r="B23" s="175" t="n">
        <x:f>AVERAGE('Backlog'!G4:G21)/100</x:f>
        <x:v>0.4361111111111111</x:v>
      </x:c>
      <x:c r="C23" s="163"/>
      <x:c r="D23" s="163"/>
    </x:row>
    <x:row r="24">
      <x:c r="A24" s="174" t="str">
        <x:v>Situação atual</x:v>
      </x:c>
      <x:c r="B24" s="163" t="str">
        <x:v>Inventory Analytics MVP — v0.2.0</x:v>
      </x:c>
      <x:c r="C24" s="163"/>
      <x:c r="D24" s="163"/>
    </x:row>
  </x:sheetData>
  <x:mergeCells>
    <x:mergeCell ref="A1:H2"/>
    <x:mergeCell ref="D4:H4"/>
    <x:mergeCell ref="D5:H8"/>
    <x:mergeCell ref="A11:H11"/>
    <x:mergeCell ref="A19:D19"/>
    <x:mergeCell ref="A1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18" hidden="0" customWidth="1"/>
    <x:col min="3" max="3" width="44" hidden="0" customWidth="1"/>
    <x:col min="4" max="5" width="13" customWidth="1"/>
    <x:col min="6" max="6" width="11" hidden="0" customWidth="1"/>
    <x:col min="7" max="7" width="12" hidden="0" customWidth="1"/>
    <x:col min="8" max="9" width="14" customWidth="1"/>
    <x:col min="10" max="10" width="12" hidden="0" customWidth="1"/>
    <x:col min="11" max="26" width="5" customWidth="1"/>
    <x:col min="4" max="4" width="12" hidden="0" customWidth="1"/>
    <x:col min="5" max="5" width="12" hidden="0" customWidth="1"/>
    <x:col min="8" max="8" width="11" hidden="0" customWidth="1"/>
    <x:col min="9" max="9" width="15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</x:cols>
  <x:sheetData>
    <x:row r="1" ht="30" customHeight="1">
      <x:c r="A1" s="178" t="str">
        <x:v>AI Supply Chain Copilot — Cronograma Gantt v0.2.0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  <x:c r="Q1" s="178"/>
      <x:c r="R1" s="178"/>
      <x:c r="S1" s="62"/>
      <x:c r="T1" s="62"/>
      <x:c r="U1" s="62"/>
      <x:c r="V1" s="62"/>
      <x:c r="W1" s="62"/>
      <x:c r="X1" s="62"/>
      <x:c r="Y1" s="62"/>
      <x:c r="Z1" s="62"/>
    </x:row>
    <x:row r="2" ht="15">
      <x:c r="K2" s="261" t="str">
        <x:v>S1</x:v>
      </x:c>
      <x:c r="L2" s="261" t="str">
        <x:v>S2</x:v>
      </x:c>
      <x:c r="M2" s="261" t="str">
        <x:v>S3</x:v>
      </x:c>
      <x:c r="N2" s="261" t="str">
        <x:v>S4</x:v>
      </x:c>
      <x:c r="O2" s="261" t="str">
        <x:v>S5</x:v>
      </x:c>
      <x:c r="P2" s="261" t="str">
        <x:v>S6</x:v>
      </x:c>
      <x:c r="Q2" s="261" t="str">
        <x:v>S7</x:v>
      </x:c>
      <x:c r="R2" s="261" t="str">
        <x:v>S8</x:v>
      </x:c>
      <x:c r="S2" s="19"/>
      <x:c r="T2" s="19"/>
      <x:c r="U2" s="19"/>
      <x:c r="V2" s="19"/>
      <x:c r="W2" s="19"/>
      <x:c r="X2" s="19"/>
      <x:c r="Y2" s="19"/>
      <x:c r="Z2" s="19"/>
    </x:row>
    <x:row r="3" ht="28" customHeight="1">
      <x:c r="A3" s="127" t="str">
        <x:v>ID</x:v>
      </x:c>
      <x:c r="B3" s="127" t="str">
        <x:v>Fase</x:v>
      </x:c>
      <x:c r="C3" s="127" t="str">
        <x:v>Entrega / Atividade</x:v>
      </x:c>
      <x:c r="D3" s="127" t="str">
        <x:v>Início</x:v>
      </x:c>
      <x:c r="E3" s="127" t="str">
        <x:v>Fim</x:v>
      </x:c>
      <x:c r="F3" s="127" t="str">
        <x:v>Duração (sem.)</x:v>
      </x:c>
      <x:c r="G3" s="127" t="str">
        <x:v>Responsável</x:v>
      </x:c>
      <x:c r="H3" s="127" t="str">
        <x:v>Prioridade</x:v>
      </x:c>
      <x:c r="I3" s="127" t="str">
        <x:v>Status</x:v>
      </x:c>
      <x:c r="J3" s="127" t="str">
        <x:v>Dependência</x:v>
      </x:c>
      <x:c r="K3" s="127" t="str">
        <x:v>S1</x:v>
      </x:c>
      <x:c r="L3" s="127" t="str">
        <x:v>S2</x:v>
      </x:c>
      <x:c r="M3" s="127" t="str">
        <x:v>S3</x:v>
      </x:c>
      <x:c r="N3" s="127" t="str">
        <x:v>S4</x:v>
      </x:c>
      <x:c r="O3" s="127" t="str">
        <x:v>S5</x:v>
      </x:c>
      <x:c r="P3" s="127" t="str">
        <x:v>S6</x:v>
      </x:c>
      <x:c r="Q3" s="127" t="str">
        <x:v>S7</x:v>
      </x:c>
      <x:c r="R3" s="127" t="str">
        <x:v>S8</x:v>
      </x:c>
      <x:c r="S3" s="18"/>
      <x:c r="T3" s="18"/>
      <x:c r="U3" s="18"/>
      <x:c r="V3" s="18"/>
      <x:c r="W3" s="18"/>
      <x:c r="X3" s="18"/>
      <x:c r="Y3" s="18"/>
      <x:c r="Z3" s="18"/>
    </x:row>
    <x:row r="4" ht="28.5">
      <x:c r="A4" s="188" t="n">
        <x:v>1</x:v>
      </x:c>
      <x:c r="B4" s="189" t="str">
        <x:v>Fundação</x:v>
      </x:c>
      <x:c r="C4" s="189" t="str">
        <x:v>Configurar ambiente local, Git, GitHub e estrutura do repositório</x:v>
      </x:c>
      <x:c r="D4" s="184" t="n">
        <x:v>46226</x:v>
      </x:c>
      <x:c r="E4" s="184" t="n">
        <x:v>46227</x:v>
      </x:c>
      <x:c r="F4" s="189" t="n">
        <x:v>1</x:v>
      </x:c>
      <x:c r="G4" s="189" t="str">
        <x:v>Rodrigo</x:v>
      </x:c>
      <x:c r="H4" s="189" t="str">
        <x:v>Alta</x:v>
      </x:c>
      <x:c r="I4" s="195" t="str">
        <x:v>Concluído</x:v>
      </x:c>
      <x:c r="J4" s="189" t="str"/>
      <x:c r="K4" s="201" t="n">
        <x:v>1</x:v>
      </x:c>
      <x:c r="L4" s="203"/>
      <x:c r="M4" s="203"/>
      <x:c r="N4" s="203"/>
      <x:c r="O4" s="203"/>
      <x:c r="P4" s="203"/>
      <x:c r="Q4" s="203"/>
      <x:c r="R4" s="203"/>
      <x:c r="S4" s="21"/>
      <x:c r="T4" s="21"/>
      <x:c r="U4" s="21"/>
      <x:c r="V4" s="21"/>
      <x:c r="W4" s="21"/>
      <x:c r="X4" s="21"/>
      <x:c r="Y4" s="21"/>
      <x:c r="Z4" s="23"/>
    </x:row>
    <x:row r="5">
      <x:c r="A5" s="190" t="n">
        <x:v>2</x:v>
      </x:c>
      <x:c r="B5" s="163" t="str">
        <x:v>Dados</x:v>
      </x:c>
      <x:c r="C5" s="163" t="str">
        <x:v>Criar dataset sintético de inventário ERP</x:v>
      </x:c>
      <x:c r="D5" s="185" t="n">
        <x:v>46228</x:v>
      </x:c>
      <x:c r="E5" s="185" t="n">
        <x:v>46231</x:v>
      </x:c>
      <x:c r="F5" s="163" t="n">
        <x:v>1</x:v>
      </x:c>
      <x:c r="G5" s="163" t="str">
        <x:v>Rodrigo</x:v>
      </x:c>
      <x:c r="H5" s="163" t="str">
        <x:v>Alta</x:v>
      </x:c>
      <x:c r="I5" s="209" t="str">
        <x:v>Concluído</x:v>
      </x:c>
      <x:c r="J5" s="163" t="str">
        <x:v>1</x:v>
      </x:c>
      <x:c r="K5" s="215" t="n">
        <x:v>1</x:v>
      </x:c>
      <x:c r="L5" s="217"/>
      <x:c r="M5" s="217"/>
      <x:c r="N5" s="217"/>
      <x:c r="O5" s="217"/>
      <x:c r="P5" s="217"/>
      <x:c r="Q5" s="217"/>
      <x:c r="R5" s="217"/>
      <x:c r="S5" s="1"/>
      <x:c r="T5" s="1"/>
      <x:c r="U5" s="1"/>
      <x:c r="V5" s="1"/>
      <x:c r="W5" s="1"/>
      <x:c r="X5" s="1"/>
      <x:c r="Y5" s="1"/>
      <x:c r="Z5" s="26"/>
    </x:row>
    <x:row r="6">
      <x:c r="A6" s="190" t="n">
        <x:v>3</x:v>
      </x:c>
      <x:c r="B6" s="163" t="str">
        <x:v>Python / Dados</x:v>
      </x:c>
      <x:c r="C6" s="163" t="str">
        <x:v>Ler e explorar o dataset com Pandas</x:v>
      </x:c>
      <x:c r="D6" s="185" t="n">
        <x:v>46227</x:v>
      </x:c>
      <x:c r="E6" s="185" t="n">
        <x:v>46228</x:v>
      </x:c>
      <x:c r="F6" s="163" t="n">
        <x:v>1</x:v>
      </x:c>
      <x:c r="G6" s="163" t="str">
        <x:v>Rodrigo</x:v>
      </x:c>
      <x:c r="H6" s="163" t="str">
        <x:v>Alta</x:v>
      </x:c>
      <x:c r="I6" s="209" t="str">
        <x:v>Concluído</x:v>
      </x:c>
      <x:c r="J6" s="163" t="str">
        <x:v>1</x:v>
      </x:c>
      <x:c r="K6" s="215" t="n">
        <x:v>1</x:v>
      </x:c>
      <x:c r="L6" s="217"/>
      <x:c r="M6" s="217"/>
      <x:c r="N6" s="217"/>
      <x:c r="O6" s="217"/>
      <x:c r="P6" s="217"/>
      <x:c r="Q6" s="217"/>
      <x:c r="R6" s="217"/>
      <x:c r="S6" s="1"/>
      <x:c r="T6" s="1"/>
      <x:c r="U6" s="1"/>
      <x:c r="V6" s="1"/>
      <x:c r="W6" s="1"/>
      <x:c r="X6" s="1"/>
      <x:c r="Y6" s="1"/>
      <x:c r="Z6" s="26"/>
    </x:row>
    <x:row r="7" ht="28.5">
      <x:c r="A7" s="190" t="n">
        <x:v>4</x:v>
      </x:c>
      <x:c r="B7" s="163" t="str">
        <x:v>Qualidade</x:v>
      </x:c>
      <x:c r="C7" s="163" t="str">
        <x:v>Validar SKUs, duplicidades e campos críticos</x:v>
      </x:c>
      <x:c r="D7" s="185" t="n">
        <x:v>46231</x:v>
      </x:c>
      <x:c r="E7" s="185" t="n">
        <x:v>46231</x:v>
      </x:c>
      <x:c r="F7" s="163" t="n">
        <x:v>1</x:v>
      </x:c>
      <x:c r="G7" s="163" t="str">
        <x:v>Rodrigo</x:v>
      </x:c>
      <x:c r="H7" s="163" t="str">
        <x:v>Alta</x:v>
      </x:c>
      <x:c r="I7" s="209" t="str">
        <x:v>Concluído</x:v>
      </x:c>
      <x:c r="J7" s="163" t="str">
        <x:v>2,3</x:v>
      </x:c>
      <x:c r="K7" s="215" t="n">
        <x:v>1</x:v>
      </x:c>
      <x:c r="L7" s="217"/>
      <x:c r="M7" s="217"/>
      <x:c r="N7" s="217"/>
      <x:c r="O7" s="217"/>
      <x:c r="P7" s="217"/>
      <x:c r="Q7" s="217"/>
      <x:c r="R7" s="217"/>
      <x:c r="S7" s="1"/>
      <x:c r="T7" s="1"/>
      <x:c r="U7" s="1"/>
      <x:c r="V7" s="1"/>
      <x:c r="W7" s="1"/>
      <x:c r="X7" s="1"/>
      <x:c r="Y7" s="1"/>
      <x:c r="Z7" s="26"/>
    </x:row>
    <x:row r="8" ht="28.5">
      <x:c r="A8" s="190" t="n">
        <x:v>5</x:v>
      </x:c>
      <x:c r="B8" s="163" t="str">
        <x:v>Supply Chain</x:v>
      </x:c>
      <x:c r="C8" s="163" t="str">
        <x:v>Calcular valor de estoque, reposição e excesso</x:v>
      </x:c>
      <x:c r="D8" s="185" t="n">
        <x:v>46231</x:v>
      </x:c>
      <x:c r="E8" s="185" t="n">
        <x:v>46232</x:v>
      </x:c>
      <x:c r="F8" s="163" t="n">
        <x:v>1</x:v>
      </x:c>
      <x:c r="G8" s="163" t="str">
        <x:v>Rodrigo</x:v>
      </x:c>
      <x:c r="H8" s="163" t="str">
        <x:v>Alta</x:v>
      </x:c>
      <x:c r="I8" s="209" t="str">
        <x:v>Concluído</x:v>
      </x:c>
      <x:c r="J8" s="163" t="str">
        <x:v>4</x:v>
      </x:c>
      <x:c r="K8" s="215" t="n">
        <x:v>1</x:v>
      </x:c>
      <x:c r="L8" s="217"/>
      <x:c r="M8" s="217"/>
      <x:c r="N8" s="217"/>
      <x:c r="O8" s="217"/>
      <x:c r="P8" s="217"/>
      <x:c r="Q8" s="217"/>
      <x:c r="R8" s="217"/>
      <x:c r="S8" s="1"/>
      <x:c r="T8" s="1"/>
      <x:c r="U8" s="1"/>
      <x:c r="V8" s="1"/>
      <x:c r="W8" s="1"/>
      <x:c r="X8" s="1"/>
      <x:c r="Y8" s="1"/>
      <x:c r="Z8" s="26"/>
    </x:row>
    <x:row r="9">
      <x:c r="A9" s="190" t="n">
        <x:v>6</x:v>
      </x:c>
      <x:c r="B9" s="163" t="str">
        <x:v>Supply Chain</x:v>
      </x:c>
      <x:c r="C9" s="163" t="str">
        <x:v>Calcular cobertura, lead time e risco de ruptura</x:v>
      </x:c>
      <x:c r="D9" s="185" t="n">
        <x:v>46232</x:v>
      </x:c>
      <x:c r="E9" s="185" t="n">
        <x:v>46232</x:v>
      </x:c>
      <x:c r="F9" s="163" t="n">
        <x:v>1</x:v>
      </x:c>
      <x:c r="G9" s="163" t="str">
        <x:v>Rodrigo</x:v>
      </x:c>
      <x:c r="H9" s="163" t="str">
        <x:v>Alta</x:v>
      </x:c>
      <x:c r="I9" s="209" t="str">
        <x:v>Concluído</x:v>
      </x:c>
      <x:c r="J9" s="163" t="str">
        <x:v>5</x:v>
      </x:c>
      <x:c r="K9" s="215" t="n">
        <x:v>1</x:v>
      </x:c>
      <x:c r="L9" s="217"/>
      <x:c r="M9" s="217"/>
      <x:c r="N9" s="217"/>
      <x:c r="O9" s="217"/>
      <x:c r="P9" s="217"/>
      <x:c r="Q9" s="217"/>
      <x:c r="R9" s="217"/>
      <x:c r="S9" s="1"/>
      <x:c r="T9" s="1"/>
      <x:c r="U9" s="1"/>
      <x:c r="V9" s="1"/>
      <x:c r="W9" s="1"/>
      <x:c r="X9" s="1"/>
      <x:c r="Y9" s="1"/>
      <x:c r="Z9" s="26"/>
    </x:row>
    <x:row r="10">
      <x:c r="A10" s="190" t="n">
        <x:v>7</x:v>
      </x:c>
      <x:c r="B10" s="163" t="str">
        <x:v>Motor de decisão</x:v>
      </x:c>
      <x:c r="C10" s="163" t="str">
        <x:v>Gerar ação recomendada, impacto financeiro e prioridade</x:v>
      </x:c>
      <x:c r="D10" s="185" t="n">
        <x:v>46232</x:v>
      </x:c>
      <x:c r="E10" s="185" t="n">
        <x:v>46232</x:v>
      </x:c>
      <x:c r="F10" s="163" t="n">
        <x:v>1</x:v>
      </x:c>
      <x:c r="G10" s="163" t="str">
        <x:v>Rodrigo</x:v>
      </x:c>
      <x:c r="H10" s="163" t="str">
        <x:v>Alta</x:v>
      </x:c>
      <x:c r="I10" s="209" t="str">
        <x:v>Concluído</x:v>
      </x:c>
      <x:c r="J10" s="163" t="str">
        <x:v>5,6</x:v>
      </x:c>
      <x:c r="K10" s="215" t="n">
        <x:v>1</x:v>
      </x:c>
      <x:c r="L10" s="217"/>
      <x:c r="M10" s="217"/>
      <x:c r="N10" s="217"/>
      <x:c r="O10" s="217"/>
      <x:c r="P10" s="217"/>
      <x:c r="Q10" s="217"/>
      <x:c r="R10" s="217"/>
      <x:c r="S10" s="1"/>
      <x:c r="T10" s="1"/>
      <x:c r="U10" s="1"/>
      <x:c r="V10" s="1"/>
      <x:c r="W10" s="1"/>
      <x:c r="X10" s="1"/>
      <x:c r="Y10" s="1"/>
      <x:c r="Z10" s="26"/>
    </x:row>
    <x:row r="11">
      <x:c r="A11" s="190" t="n">
        <x:v>8</x:v>
      </x:c>
      <x:c r="B11" s="163" t="str">
        <x:v>Portfólio</x:v>
      </x:c>
      <x:c r="C11" s="163" t="str">
        <x:v>Atualizar README, Gantt e publicar release v0.2.0</x:v>
      </x:c>
      <x:c r="D11" s="185" t="n">
        <x:v>46232</x:v>
      </x:c>
      <x:c r="E11" s="185" t="n">
        <x:v>46233</x:v>
      </x:c>
      <x:c r="F11" s="163" t="n">
        <x:v>1</x:v>
      </x:c>
      <x:c r="G11" s="163" t="str">
        <x:v>Rodrigo</x:v>
      </x:c>
      <x:c r="H11" s="163" t="str">
        <x:v>Alta</x:v>
      </x:c>
      <x:c r="I11" s="223" t="str">
        <x:v>Em andamento</x:v>
      </x:c>
      <x:c r="J11" s="163" t="str">
        <x:v>7</x:v>
      </x:c>
      <x:c r="K11" s="227" t="n">
        <x:v>1</x:v>
      </x:c>
      <x:c r="L11" s="227" t="n">
        <x:v>1</x:v>
      </x:c>
      <x:c r="M11" s="217"/>
      <x:c r="N11" s="217"/>
      <x:c r="O11" s="217"/>
      <x:c r="P11" s="217"/>
      <x:c r="Q11" s="217"/>
      <x:c r="R11" s="217"/>
      <x:c r="S11" s="1"/>
      <x:c r="T11" s="1"/>
      <x:c r="U11" s="1"/>
      <x:c r="V11" s="1"/>
      <x:c r="W11" s="1"/>
      <x:c r="X11" s="1"/>
      <x:c r="Y11" s="1"/>
      <x:c r="Z11" s="26"/>
    </x:row>
    <x:row r="12">
      <x:c r="A12" s="190" t="n">
        <x:v>9</x:v>
      </x:c>
      <x:c r="B12" s="163" t="str">
        <x:v>Motor de decisão</x:v>
      </x:c>
      <x:c r="C12" s="163" t="str">
        <x:v>Criar score multicritério com ABC, cobertura e lead time</x:v>
      </x:c>
      <x:c r="D12" s="185" t="n">
        <x:v>46234</x:v>
      </x:c>
      <x:c r="E12" s="185" t="n">
        <x:v>46238</x:v>
      </x:c>
      <x:c r="F12" s="163" t="n">
        <x:v>1</x:v>
      </x:c>
      <x:c r="G12" s="163" t="str">
        <x:v>Rodrigo</x:v>
      </x:c>
      <x:c r="H12" s="163" t="str">
        <x:v>Alta</x:v>
      </x:c>
      <x:c r="I12" s="233" t="str">
        <x:v>Não iniciado</x:v>
      </x:c>
      <x:c r="J12" s="163" t="str">
        <x:v>7</x:v>
      </x:c>
      <x:c r="K12" s="217"/>
      <x:c r="L12" s="125" t="n">
        <x:v>1</x:v>
      </x:c>
      <x:c r="M12" s="217"/>
      <x:c r="N12" s="217"/>
      <x:c r="O12" s="217"/>
      <x:c r="P12" s="217"/>
      <x:c r="Q12" s="217"/>
      <x:c r="R12" s="217"/>
      <x:c r="S12" s="1"/>
      <x:c r="T12" s="1"/>
      <x:c r="U12" s="1"/>
      <x:c r="V12" s="1"/>
      <x:c r="W12" s="1"/>
      <x:c r="X12" s="1"/>
      <x:c r="Y12" s="1"/>
      <x:c r="Z12" s="26"/>
    </x:row>
    <x:row r="13">
      <x:c r="A13" s="190" t="n">
        <x:v>10</x:v>
      </x:c>
      <x:c r="B13" s="163" t="str">
        <x:v>Supply Chain</x:v>
      </x:c>
      <x:c r="C13" s="163" t="str">
        <x:v>Adicionar giro, estoque parado e estoque de segurança</x:v>
      </x:c>
      <x:c r="D13" s="185" t="n">
        <x:v>46237</x:v>
      </x:c>
      <x:c r="E13" s="185" t="n">
        <x:v>46241</x:v>
      </x:c>
      <x:c r="F13" s="163" t="n">
        <x:v>1</x:v>
      </x:c>
      <x:c r="G13" s="163" t="str">
        <x:v>Rodrigo</x:v>
      </x:c>
      <x:c r="H13" s="163" t="str">
        <x:v>Alta</x:v>
      </x:c>
      <x:c r="I13" s="233" t="str">
        <x:v>Não iniciado</x:v>
      </x:c>
      <x:c r="J13" s="163" t="str">
        <x:v>9</x:v>
      </x:c>
      <x:c r="K13" s="217"/>
      <x:c r="L13" s="125" t="n">
        <x:v>1</x:v>
      </x:c>
      <x:c r="M13" s="125" t="n">
        <x:v>1</x:v>
      </x:c>
      <x:c r="N13" s="217"/>
      <x:c r="O13" s="217"/>
      <x:c r="P13" s="217"/>
      <x:c r="Q13" s="217"/>
      <x:c r="R13" s="217"/>
      <x:c r="S13" s="1"/>
      <x:c r="T13" s="1"/>
      <x:c r="U13" s="1"/>
      <x:c r="V13" s="1"/>
      <x:c r="W13" s="1"/>
      <x:c r="X13" s="1"/>
      <x:c r="Y13" s="1"/>
      <x:c r="Z13" s="26"/>
    </x:row>
    <x:row r="14">
      <x:c r="A14" s="190" t="n">
        <x:v>11</x:v>
      </x:c>
      <x:c r="B14" s="163" t="str">
        <x:v>Demanda</x:v>
      </x:c>
      <x:c r="C14" s="163" t="str">
        <x:v>Criar histórico sintético de demanda e previsão</x:v>
      </x:c>
      <x:c r="D14" s="185" t="n">
        <x:v>46240</x:v>
      </x:c>
      <x:c r="E14" s="185" t="n">
        <x:v>46246</x:v>
      </x:c>
      <x:c r="F14" s="163" t="n">
        <x:v>1</x:v>
      </x:c>
      <x:c r="G14" s="163" t="str">
        <x:v>Rodrigo</x:v>
      </x:c>
      <x:c r="H14" s="163" t="str">
        <x:v>Alta</x:v>
      </x:c>
      <x:c r="I14" s="233" t="str">
        <x:v>Não iniciado</x:v>
      </x:c>
      <x:c r="J14" s="163" t="str">
        <x:v>2</x:v>
      </x:c>
      <x:c r="K14" s="217"/>
      <x:c r="L14" s="217"/>
      <x:c r="M14" s="125" t="n">
        <x:v>1</x:v>
      </x:c>
      <x:c r="N14" s="217"/>
      <x:c r="O14" s="217"/>
      <x:c r="P14" s="217"/>
      <x:c r="Q14" s="217"/>
      <x:c r="R14" s="217"/>
      <x:c r="S14" s="1"/>
      <x:c r="T14" s="1"/>
      <x:c r="U14" s="1"/>
      <x:c r="V14" s="1"/>
      <x:c r="W14" s="1"/>
      <x:c r="X14" s="1"/>
      <x:c r="Y14" s="1"/>
      <x:c r="Z14" s="26"/>
    </x:row>
    <x:row r="15" ht="28.5">
      <x:c r="A15" s="190" t="n">
        <x:v>12</x:v>
      </x:c>
      <x:c r="B15" s="163" t="str">
        <x:v>IA Preditiva</x:v>
      </x:c>
      <x:c r="C15" s="163" t="str">
        <x:v>Criar baseline de previsão e medir acurácia</x:v>
      </x:c>
      <x:c r="D15" s="185" t="n">
        <x:v>46245</x:v>
      </x:c>
      <x:c r="E15" s="185" t="n">
        <x:v>46252</x:v>
      </x:c>
      <x:c r="F15" s="163" t="n">
        <x:v>2</x:v>
      </x:c>
      <x:c r="G15" s="163" t="str">
        <x:v>Rodrigo</x:v>
      </x:c>
      <x:c r="H15" s="163" t="str">
        <x:v>Alta</x:v>
      </x:c>
      <x:c r="I15" s="233" t="str">
        <x:v>Não iniciado</x:v>
      </x:c>
      <x:c r="J15" s="163" t="str">
        <x:v>11</x:v>
      </x:c>
      <x:c r="K15" s="217"/>
      <x:c r="L15" s="217"/>
      <x:c r="M15" s="125" t="n">
        <x:v>1</x:v>
      </x:c>
      <x:c r="N15" s="125" t="n">
        <x:v>1</x:v>
      </x:c>
      <x:c r="O15" s="217"/>
      <x:c r="P15" s="217"/>
      <x:c r="Q15" s="217"/>
      <x:c r="R15" s="217"/>
      <x:c r="S15" s="1"/>
      <x:c r="T15" s="1"/>
      <x:c r="U15" s="1"/>
      <x:c r="V15" s="1"/>
      <x:c r="W15" s="1"/>
      <x:c r="X15" s="1"/>
      <x:c r="Y15" s="1"/>
      <x:c r="Z15" s="26"/>
    </x:row>
    <x:row r="16">
      <x:c r="A16" s="190" t="n">
        <x:v>13</x:v>
      </x:c>
      <x:c r="B16" s="163" t="str">
        <x:v>Automação</x:v>
      </x:c>
      <x:c r="C16" s="163" t="str">
        <x:v>Organizar pipeline modular e persistência em SQLite</x:v>
      </x:c>
      <x:c r="D16" s="185" t="n">
        <x:v>46251</x:v>
      </x:c>
      <x:c r="E16" s="185" t="n">
        <x:v>46258</x:v>
      </x:c>
      <x:c r="F16" s="163" t="n">
        <x:v>2</x:v>
      </x:c>
      <x:c r="G16" s="163" t="str">
        <x:v>Rodrigo</x:v>
      </x:c>
      <x:c r="H16" s="163" t="str">
        <x:v>Alta</x:v>
      </x:c>
      <x:c r="I16" s="233" t="str">
        <x:v>Não iniciado</x:v>
      </x:c>
      <x:c r="J16" s="163" t="str">
        <x:v>9,10,12</x:v>
      </x:c>
      <x:c r="K16" s="217"/>
      <x:c r="L16" s="217"/>
      <x:c r="M16" s="217"/>
      <x:c r="N16" s="125" t="n">
        <x:v>1</x:v>
      </x:c>
      <x:c r="O16" s="125" t="n">
        <x:v>1</x:v>
      </x:c>
      <x:c r="P16" s="217"/>
      <x:c r="Q16" s="217"/>
      <x:c r="R16" s="217"/>
      <x:c r="S16" s="1"/>
      <x:c r="T16" s="1"/>
      <x:c r="U16" s="1"/>
      <x:c r="V16" s="1"/>
      <x:c r="W16" s="1"/>
      <x:c r="X16" s="1"/>
      <x:c r="Y16" s="1"/>
      <x:c r="Z16" s="26"/>
    </x:row>
    <x:row r="17">
      <x:c r="A17" s="190" t="n">
        <x:v>14</x:v>
      </x:c>
      <x:c r="B17" s="163" t="str">
        <x:v>Documentos</x:v>
      </x:c>
      <x:c r="C17" s="163" t="str">
        <x:v>Criar protótipo de extração de NF para dados estruturados</x:v>
      </x:c>
      <x:c r="D17" s="185" t="n">
        <x:v>46254</x:v>
      </x:c>
      <x:c r="E17" s="185" t="n">
        <x:v>46262</x:v>
      </x:c>
      <x:c r="F17" s="163" t="n">
        <x:v>2</x:v>
      </x:c>
      <x:c r="G17" s="163" t="str">
        <x:v>Rodrigo</x:v>
      </x:c>
      <x:c r="H17" s="163" t="str">
        <x:v>Média</x:v>
      </x:c>
      <x:c r="I17" s="233" t="str">
        <x:v>Não iniciado</x:v>
      </x:c>
      <x:c r="J17" s="163" t="str">
        <x:v>13</x:v>
      </x:c>
      <x:c r="K17" s="217"/>
      <x:c r="L17" s="217"/>
      <x:c r="M17" s="217"/>
      <x:c r="N17" s="217"/>
      <x:c r="O17" s="125" t="n">
        <x:v>1</x:v>
      </x:c>
      <x:c r="P17" s="125" t="n">
        <x:v>1</x:v>
      </x:c>
      <x:c r="Q17" s="217"/>
      <x:c r="R17" s="217"/>
      <x:c r="S17" s="1"/>
      <x:c r="T17" s="1"/>
      <x:c r="U17" s="1"/>
      <x:c r="V17" s="1"/>
      <x:c r="W17" s="1"/>
      <x:c r="X17" s="1"/>
      <x:c r="Y17" s="1"/>
      <x:c r="Z17" s="26"/>
    </x:row>
    <x:row r="18">
      <x:c r="A18" s="190" t="n">
        <x:v>15</x:v>
      </x:c>
      <x:c r="B18" s="163" t="str">
        <x:v>Dashboard</x:v>
      </x:c>
      <x:c r="C18" s="163" t="str">
        <x:v>Criar painel executivo e operacional</x:v>
      </x:c>
      <x:c r="D18" s="185" t="n">
        <x:v>46259</x:v>
      </x:c>
      <x:c r="E18" s="185" t="n">
        <x:v>46267</x:v>
      </x:c>
      <x:c r="F18" s="163" t="n">
        <x:v>2</x:v>
      </x:c>
      <x:c r="G18" s="163" t="str">
        <x:v>Rodrigo</x:v>
      </x:c>
      <x:c r="H18" s="163" t="str">
        <x:v>Alta</x:v>
      </x:c>
      <x:c r="I18" s="233" t="str">
        <x:v>Não iniciado</x:v>
      </x:c>
      <x:c r="J18" s="163" t="str">
        <x:v>10,12,13</x:v>
      </x:c>
      <x:c r="K18" s="217"/>
      <x:c r="L18" s="217"/>
      <x:c r="M18" s="217"/>
      <x:c r="N18" s="217"/>
      <x:c r="O18" s="125" t="n">
        <x:v>1</x:v>
      </x:c>
      <x:c r="P18" s="125" t="n">
        <x:v>1</x:v>
      </x:c>
      <x:c r="Q18" s="217"/>
      <x:c r="R18" s="217"/>
      <x:c r="S18" s="1"/>
      <x:c r="T18" s="1"/>
      <x:c r="U18" s="1"/>
      <x:c r="V18" s="1"/>
      <x:c r="W18" s="1"/>
      <x:c r="X18" s="1"/>
      <x:c r="Y18" s="1"/>
      <x:c r="Z18" s="26"/>
    </x:row>
    <x:row r="19">
      <x:c r="A19" s="190" t="n">
        <x:v>16</x:v>
      </x:c>
      <x:c r="B19" s="163" t="str">
        <x:v>Backend</x:v>
      </x:c>
      <x:c r="C19" s="163" t="str">
        <x:v>Criar API para consulta de SKUs, KPIs e recomendações</x:v>
      </x:c>
      <x:c r="D19" s="185" t="n">
        <x:v>46265</x:v>
      </x:c>
      <x:c r="E19" s="185" t="n">
        <x:v>46272</x:v>
      </x:c>
      <x:c r="F19" s="163" t="n">
        <x:v>2</x:v>
      </x:c>
      <x:c r="G19" s="163" t="str">
        <x:v>Rodrigo</x:v>
      </x:c>
      <x:c r="H19" s="163" t="str">
        <x:v>Média</x:v>
      </x:c>
      <x:c r="I19" s="233" t="str">
        <x:v>Não iniciado</x:v>
      </x:c>
      <x:c r="J19" s="163" t="str">
        <x:v>13</x:v>
      </x:c>
      <x:c r="K19" s="217"/>
      <x:c r="L19" s="217"/>
      <x:c r="M19" s="217"/>
      <x:c r="N19" s="217"/>
      <x:c r="O19" s="217"/>
      <x:c r="P19" s="125" t="n">
        <x:v>1</x:v>
      </x:c>
      <x:c r="Q19" s="125" t="n">
        <x:v>1</x:v>
      </x:c>
      <x:c r="R19" s="217"/>
      <x:c r="S19" s="1"/>
      <x:c r="T19" s="1"/>
      <x:c r="U19" s="1"/>
      <x:c r="V19" s="1"/>
      <x:c r="W19" s="1"/>
      <x:c r="X19" s="1"/>
      <x:c r="Y19" s="1"/>
      <x:c r="Z19" s="26"/>
    </x:row>
    <x:row r="20" ht="28.5">
      <x:c r="A20" s="190" t="n">
        <x:v>17</x:v>
      </x:c>
      <x:c r="B20" s="163" t="str">
        <x:v>Agente IA</x:v>
      </x:c>
      <x:c r="C20" s="163" t="str">
        <x:v>Criar Copilot para perguntas e recomendações explicáveis</x:v>
      </x:c>
      <x:c r="D20" s="185" t="n">
        <x:v>46269</x:v>
      </x:c>
      <x:c r="E20" s="185" t="n">
        <x:v>46279</x:v>
      </x:c>
      <x:c r="F20" s="163" t="n">
        <x:v>2</x:v>
      </x:c>
      <x:c r="G20" s="163" t="str">
        <x:v>Rodrigo</x:v>
      </x:c>
      <x:c r="H20" s="163" t="str">
        <x:v>Alta</x:v>
      </x:c>
      <x:c r="I20" s="233" t="str">
        <x:v>Não iniciado</x:v>
      </x:c>
      <x:c r="J20" s="163" t="str">
        <x:v>15,16</x:v>
      </x:c>
      <x:c r="K20" s="217"/>
      <x:c r="L20" s="217"/>
      <x:c r="M20" s="217"/>
      <x:c r="N20" s="217"/>
      <x:c r="O20" s="217"/>
      <x:c r="P20" s="217"/>
      <x:c r="Q20" s="125" t="n">
        <x:v>1</x:v>
      </x:c>
      <x:c r="R20" s="125" t="n">
        <x:v>1</x:v>
      </x:c>
      <x:c r="S20" s="1"/>
      <x:c r="T20" s="1"/>
      <x:c r="U20" s="1"/>
      <x:c r="V20" s="1"/>
      <x:c r="W20" s="1"/>
      <x:c r="X20" s="1"/>
      <x:c r="Y20" s="1"/>
      <x:c r="Z20" s="26"/>
    </x:row>
    <x:row r="21">
      <x:c r="A21" s="190" t="n">
        <x:v>18</x:v>
      </x:c>
      <x:c r="B21" s="163" t="str">
        <x:v>Release</x:v>
      </x:c>
      <x:c r="C21" s="163" t="str">
        <x:v>Testar, documentar, publicar demo e release v1.0</x:v>
      </x:c>
      <x:c r="D21" s="185" t="n">
        <x:v>46275</x:v>
      </x:c>
      <x:c r="E21" s="185" t="n">
        <x:v>46283</x:v>
      </x:c>
      <x:c r="F21" s="163" t="n">
        <x:v>2</x:v>
      </x:c>
      <x:c r="G21" s="163" t="str">
        <x:v>Rodrigo</x:v>
      </x:c>
      <x:c r="H21" s="163" t="str">
        <x:v>Alta</x:v>
      </x:c>
      <x:c r="I21" s="233" t="str">
        <x:v>Não iniciado</x:v>
      </x:c>
      <x:c r="J21" s="163" t="str">
        <x:v>17</x:v>
      </x:c>
      <x:c r="K21" s="217"/>
      <x:c r="L21" s="217"/>
      <x:c r="M21" s="217"/>
      <x:c r="N21" s="217"/>
      <x:c r="O21" s="217"/>
      <x:c r="P21" s="217"/>
      <x:c r="Q21" s="217"/>
      <x:c r="R21" s="125" t="n">
        <x:v>1</x:v>
      </x:c>
      <x:c r="S21" s="1"/>
      <x:c r="T21" s="1"/>
      <x:c r="U21" s="1"/>
      <x:c r="V21" s="1"/>
      <x:c r="W21" s="1"/>
      <x:c r="X21" s="1"/>
      <x:c r="Y21" s="1"/>
      <x:c r="Z21" s="26"/>
    </x:row>
    <x:row r="22" ht="28.5">
      <x:c r="A22" s="24"/>
      <x:c r="B22" s="1"/>
      <x:c r="C22" s="1"/>
      <x:c r="D22" s="25"/>
      <x:c r="E22" s="25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26"/>
    </x:row>
    <x:row r="23">
      <x:c r="A23" s="27"/>
      <x:c r="B23" s="28"/>
      <x:c r="C23" s="28"/>
      <x:c r="D23" s="29"/>
      <x:c r="E23" s="29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30"/>
    </x:row>
  </x:sheetData>
  <x:mergeCells>
    <x:mergeCell ref="A1:Z1"/>
    <x:mergeCell ref="A1:R1"/>
  </x:mergeCells>
  <x:conditionalFormatting sqref="I4:I23">
    <x:cfRule type="expression" dxfId="7" priority="2">
      <x:formula>I4="Concluído"</x:formula>
    </x:cfRule>
    <x:cfRule type="expression" dxfId="6" priority="3">
      <x:formula>I4="Em andamento"</x:formula>
    </x:cfRule>
    <x:cfRule type="expression" dxfId="5" priority="4">
      <x:formula>I4="Bloqueado"</x:formula>
    </x:cfRule>
  </x:conditionalFormatting>
  <x:dataValidations count="2">
    <x:dataValidation type="list" sqref="H4:H23">
      <x:formula1>"Alta,Média,Baixa"</x:formula1>
    </x:dataValidation>
    <x:dataValidation type="list" sqref="I4:I23">
      <x:formula1>"Não iniciado,Em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88009b4ba54557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46" hidden="0" customWidth="1"/>
    <x:col min="3" max="3" width="18" hidden="0" customWidth="1"/>
    <x:col min="4" max="4" width="35" hidden="0" customWidth="1"/>
    <x:col min="5" max="6" width="14" customWidth="1"/>
    <x:col min="7" max="8" width="12" customWidth="1"/>
    <x:col min="9" max="9" width="30" hidden="0" customWidth="1"/>
    <x:col min="10" max="10" width="38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0" customHeight="1">
      <x:c r="A1" s="178" t="str">
        <x:v>Backlog de Entregas — Roadmap Atualizado</x:v>
      </x:c>
      <x:c r="B1" s="178"/>
      <x:c r="C1" s="178"/>
      <x:c r="D1" s="178"/>
      <x:c r="E1" s="178"/>
      <x:c r="F1" s="178"/>
      <x:c r="G1" s="178"/>
      <x:c r="H1" s="178"/>
      <x:c r="I1" s="178"/>
      <x:c r="J1" s="178"/>
    </x:row>
    <x:row r="3" ht="28" customHeight="1">
      <x:c r="A3" s="127" t="str">
        <x:v>ID</x:v>
      </x:c>
      <x:c r="B3" s="127" t="str">
        <x:v>Entrega</x:v>
      </x:c>
      <x:c r="C3" s="127" t="str">
        <x:v>Fase</x:v>
      </x:c>
      <x:c r="D3" s="127" t="str">
        <x:v>Critério de aceite</x:v>
      </x:c>
      <x:c r="E3" s="127" t="str">
        <x:v>Prioridade</x:v>
      </x:c>
      <x:c r="F3" s="127" t="str">
        <x:v>Status</x:v>
      </x:c>
      <x:c r="G3" s="127" t="str">
        <x:v>% concluído</x:v>
      </x:c>
      <x:c r="H3" s="127" t="str">
        <x:v>Semana alvo</x:v>
      </x:c>
      <x:c r="I3" s="127" t="str">
        <x:v>Link/arquivo</x:v>
      </x:c>
      <x:c r="J3" s="127" t="str">
        <x:v>Observações</x:v>
      </x:c>
    </x:row>
    <x:row r="4" ht="28.5">
      <x:c r="A4" s="163" t="n">
        <x:v>1</x:v>
      </x:c>
      <x:c r="B4" s="163" t="str">
        <x:v>Configurar ambiente local, Git, GitHub e estrutura do repositório</x:v>
      </x:c>
      <x:c r="C4" s="163" t="str">
        <x:v>Fundação</x:v>
      </x:c>
      <x:c r="D4" s="163" t="str">
        <x:v>Ambiente reproduzível e repositório publicado</x:v>
      </x:c>
      <x:c r="E4" s="163" t="str">
        <x:v>Alta</x:v>
      </x:c>
      <x:c r="F4" s="163" t="str">
        <x:v>Concluído</x:v>
      </x:c>
      <x:c r="G4" s="239" t="n">
        <x:v>100</x:v>
      </x:c>
      <x:c r="H4" s="163" t="n">
        <x:v>1</x:v>
      </x:c>
      <x:c r="I4" s="163" t="str"/>
      <x:c r="J4" s="163" t="str">
        <x:v>Estrutura, Git e GitHub configurados.</x:v>
      </x:c>
    </x:row>
    <x:row r="5" ht="42.75">
      <x:c r="A5" s="163" t="n">
        <x:v>2</x:v>
      </x:c>
      <x:c r="B5" s="163" t="str">
        <x:v>Criar dataset sintético de inventário ERP</x:v>
      </x:c>
      <x:c r="C5" s="163" t="str">
        <x:v>Dados</x:v>
      </x:c>
      <x:c r="D5" s="163" t="str">
        <x:v>Base sintética documentada e versionada</x:v>
      </x:c>
      <x:c r="E5" s="163" t="str">
        <x:v>Alta</x:v>
      </x:c>
      <x:c r="F5" s="163" t="str">
        <x:v>Concluído</x:v>
      </x:c>
      <x:c r="G5" s="239" t="n">
        <x:v>100</x:v>
      </x:c>
      <x:c r="H5" s="163" t="n">
        <x:v>1</x:v>
      </x:c>
      <x:c r="I5" s="163" t="str">
        <x:v>sample_data/erp_inventory.csv</x:v>
      </x:c>
      <x:c r="J5" s="163" t="str">
        <x:v>erp_inventory.csv criado com dados fictícios.</x:v>
      </x:c>
    </x:row>
    <x:row r="6" ht="42.75">
      <x:c r="A6" s="163" t="n">
        <x:v>3</x:v>
      </x:c>
      <x:c r="B6" s="163" t="str">
        <x:v>Ler e explorar o dataset com Pandas</x:v>
      </x:c>
      <x:c r="C6" s="163" t="str">
        <x:v>Python / Dados</x:v>
      </x:c>
      <x:c r="D6" s="163" t="str">
        <x:v>CSV lido e estrutura inspecionada</x:v>
      </x:c>
      <x:c r="E6" s="163" t="str">
        <x:v>Alta</x:v>
      </x:c>
      <x:c r="F6" s="163" t="str">
        <x:v>Concluído</x:v>
      </x:c>
      <x:c r="G6" s="239" t="n">
        <x:v>100</x:v>
      </x:c>
      <x:c r="H6" s="163" t="n">
        <x:v>1</x:v>
      </x:c>
      <x:c r="I6" s="163" t="str">
        <x:v>scripts/analyze_inventory.py</x:v>
      </x:c>
      <x:c r="J6" s="163" t="str">
        <x:v>Pandas, head, info, shape e colunas.</x:v>
      </x:c>
    </x:row>
    <x:row r="7" ht="28.5">
      <x:c r="A7" s="163" t="n">
        <x:v>4</x:v>
      </x:c>
      <x:c r="B7" s="163" t="str">
        <x:v>Validar SKUs, duplicidades e campos críticos</x:v>
      </x:c>
      <x:c r="C7" s="163" t="str">
        <x:v>Qualidade</x:v>
      </x:c>
      <x:c r="D7" s="163" t="str">
        <x:v>Problemas de dados identificados e exibidos</x:v>
      </x:c>
      <x:c r="E7" s="163" t="str">
        <x:v>Alta</x:v>
      </x:c>
      <x:c r="F7" s="163" t="str">
        <x:v>Concluído</x:v>
      </x:c>
      <x:c r="G7" s="239" t="n">
        <x:v>100</x:v>
      </x:c>
      <x:c r="H7" s="163" t="n">
        <x:v>1</x:v>
      </x:c>
      <x:c r="I7" s="163" t="str">
        <x:v>scripts/analyze_inventory.py</x:v>
      </x:c>
      <x:c r="J7" s="163" t="str">
        <x:v>Validação de SKUs e campos críticos.</x:v>
      </x:c>
    </x:row>
    <x:row r="8" ht="28.5">
      <x:c r="A8" s="163" t="n">
        <x:v>5</x:v>
      </x:c>
      <x:c r="B8" s="163" t="str">
        <x:v>Calcular valor de estoque, reposição e excesso</x:v>
      </x:c>
      <x:c r="C8" s="163" t="str">
        <x:v>Supply Chain</x:v>
      </x:c>
      <x:c r="D8" s="163" t="str">
        <x:v>Valores e quantidades reconciliados</x:v>
      </x:c>
      <x:c r="E8" s="163" t="str">
        <x:v>Alta</x:v>
      </x:c>
      <x:c r="F8" s="163" t="str">
        <x:v>Concluído</x:v>
      </x:c>
      <x:c r="G8" s="239" t="n">
        <x:v>100</x:v>
      </x:c>
      <x:c r="H8" s="163" t="n">
        <x:v>1</x:v>
      </x:c>
      <x:c r="I8" s="163" t="str">
        <x:v>scripts/analyze_inventory.py</x:v>
      </x:c>
      <x:c r="J8" s="163" t="str">
        <x:v>Valor do estoque, reposição e excesso.</x:v>
      </x:c>
    </x:row>
    <x:row r="9">
      <x:c r="A9" s="163" t="n">
        <x:v>6</x:v>
      </x:c>
      <x:c r="B9" s="163" t="str">
        <x:v>Calcular cobertura, lead time e risco de ruptura</x:v>
      </x:c>
      <x:c r="C9" s="163" t="str">
        <x:v>Supply Chain</x:v>
      </x:c>
      <x:c r="D9" s="163" t="str">
        <x:v>Cobertura e risco calculados</x:v>
      </x:c>
      <x:c r="E9" s="163" t="str">
        <x:v>Alta</x:v>
      </x:c>
      <x:c r="F9" s="163" t="str">
        <x:v>Concluído</x:v>
      </x:c>
      <x:c r="G9" s="239" t="n">
        <x:v>100</x:v>
      </x:c>
      <x:c r="H9" s="163" t="n">
        <x:v>1</x:v>
      </x:c>
      <x:c r="I9" s="163" t="str">
        <x:v>scripts/analyze_inventory.py</x:v>
      </x:c>
      <x:c r="J9" s="163" t="str">
        <x:v>Cobertura em meses e comparação com lead time.</x:v>
      </x:c>
    </x:row>
    <x:row r="10">
      <x:c r="A10" s="163" t="n">
        <x:v>7</x:v>
      </x:c>
      <x:c r="B10" s="163" t="str">
        <x:v>Gerar ação recomendada, impacto financeiro e prioridade</x:v>
      </x:c>
      <x:c r="C10" s="163" t="str">
        <x:v>Motor de decisão</x:v>
      </x:c>
      <x:c r="D10" s="163" t="str">
        <x:v>Recomendação e prioridade exportadas</x:v>
      </x:c>
      <x:c r="E10" s="163" t="str">
        <x:v>Alta</x:v>
      </x:c>
      <x:c r="F10" s="163" t="str">
        <x:v>Concluído</x:v>
      </x:c>
      <x:c r="G10" s="239" t="n">
        <x:v>100</x:v>
      </x:c>
      <x:c r="H10" s="163" t="n">
        <x:v>1</x:v>
      </x:c>
      <x:c r="I10" s="163" t="str">
        <x:v>scripts/analyze_inventory.py</x:v>
      </x:c>
      <x:c r="J10" s="163" t="str">
        <x:v>Arquivo consolidado inventory_analysis.csv.</x:v>
      </x:c>
    </x:row>
    <x:row r="11">
      <x:c r="A11" s="163" t="n">
        <x:v>8</x:v>
      </x:c>
      <x:c r="B11" s="163" t="str">
        <x:v>Atualizar README, Gantt e publicar release v0.2.0</x:v>
      </x:c>
      <x:c r="C11" s="163" t="str">
        <x:v>Portfólio</x:v>
      </x:c>
      <x:c r="D11" s="163" t="str">
        <x:v>Documentação e marco v0.2.0 publicados</x:v>
      </x:c>
      <x:c r="E11" s="163" t="str">
        <x:v>Alta</x:v>
      </x:c>
      <x:c r="F11" s="163" t="str">
        <x:v>Em andamento</x:v>
      </x:c>
      <x:c r="G11" s="239" t="n">
        <x:v>85</x:v>
      </x:c>
      <x:c r="H11" s="163" t="n">
        <x:v>2</x:v>
      </x:c>
      <x:c r="I11" s="163" t="str">
        <x:v>README.md</x:v>
      </x:c>
      <x:c r="J11" s="163" t="str">
        <x:v>README atualizado; commit e push pendentes.</x:v>
      </x:c>
    </x:row>
    <x:row r="12">
      <x:c r="A12" s="163" t="n">
        <x:v>9</x:v>
      </x:c>
      <x:c r="B12" s="163" t="str">
        <x:v>Criar score multicritério com ABC, cobertura e lead time</x:v>
      </x:c>
      <x:c r="C12" s="163" t="str">
        <x:v>Motor de decisão</x:v>
      </x:c>
      <x:c r="D12" s="163" t="str">
        <x:v>Score explicável por SKU</x:v>
      </x:c>
      <x:c r="E12" s="163" t="str">
        <x:v>Alta</x:v>
      </x:c>
      <x:c r="F12" s="163" t="str">
        <x:v>Não iniciado</x:v>
      </x:c>
      <x:c r="G12" s="239" t="n">
        <x:v>0</x:v>
      </x:c>
      <x:c r="H12" s="163" t="n">
        <x:v>2</x:v>
      </x:c>
      <x:c r="I12" s="163" t="str"/>
      <x:c r="J12" s="163" t="str"/>
    </x:row>
    <x:row r="13" ht="28.5">
      <x:c r="A13" s="163" t="n">
        <x:v>10</x:v>
      </x:c>
      <x:c r="B13" s="163" t="str">
        <x:v>Adicionar giro, estoque parado e estoque de segurança</x:v>
      </x:c>
      <x:c r="C13" s="163" t="str">
        <x:v>Supply Chain</x:v>
      </x:c>
      <x:c r="D13" s="163" t="str">
        <x:v>KPIs operacionais adicionais calculados</x:v>
      </x:c>
      <x:c r="E13" s="163" t="str">
        <x:v>Alta</x:v>
      </x:c>
      <x:c r="F13" s="163" t="str">
        <x:v>Não iniciado</x:v>
      </x:c>
      <x:c r="G13" s="239" t="n">
        <x:v>0</x:v>
      </x:c>
      <x:c r="H13" s="163" t="n">
        <x:v>3</x:v>
      </x:c>
      <x:c r="I13" s="163" t="str"/>
      <x:c r="J13" s="163" t="str"/>
    </x:row>
    <x:row r="14" ht="28.5">
      <x:c r="A14" s="163" t="n">
        <x:v>11</x:v>
      </x:c>
      <x:c r="B14" s="163" t="str">
        <x:v>Criar histórico sintético de demanda e previsão</x:v>
      </x:c>
      <x:c r="C14" s="163" t="str">
        <x:v>Demanda</x:v>
      </x:c>
      <x:c r="D14" s="163" t="str">
        <x:v>Histórico coerente e documentado</x:v>
      </x:c>
      <x:c r="E14" s="163" t="str">
        <x:v>Alta</x:v>
      </x:c>
      <x:c r="F14" s="163" t="str">
        <x:v>Não iniciado</x:v>
      </x:c>
      <x:c r="G14" s="239" t="n">
        <x:v>0</x:v>
      </x:c>
      <x:c r="H14" s="163" t="n">
        <x:v>3</x:v>
      </x:c>
      <x:c r="I14" s="163" t="str"/>
      <x:c r="J14" s="163" t="str"/>
    </x:row>
    <x:row r="15" ht="28.5">
      <x:c r="A15" s="163" t="n">
        <x:v>12</x:v>
      </x:c>
      <x:c r="B15" s="163" t="str">
        <x:v>Criar baseline de previsão e medir acurácia</x:v>
      </x:c>
      <x:c r="C15" s="163" t="str">
        <x:v>IA Preditiva</x:v>
      </x:c>
      <x:c r="D15" s="163" t="str">
        <x:v>Baseline e métricas de erro comparáveis</x:v>
      </x:c>
      <x:c r="E15" s="163" t="str">
        <x:v>Alta</x:v>
      </x:c>
      <x:c r="F15" s="163" t="str">
        <x:v>Não iniciado</x:v>
      </x:c>
      <x:c r="G15" s="239" t="n">
        <x:v>0</x:v>
      </x:c>
      <x:c r="H15" s="163" t="n">
        <x:v>4</x:v>
      </x:c>
      <x:c r="I15" s="163" t="str"/>
      <x:c r="J15" s="163" t="str"/>
    </x:row>
    <x:row r="16">
      <x:c r="A16" s="163" t="n">
        <x:v>13</x:v>
      </x:c>
      <x:c r="B16" s="163" t="str">
        <x:v>Organizar pipeline modular e persistência em SQLite</x:v>
      </x:c>
      <x:c r="C16" s="163" t="str">
        <x:v>Automação</x:v>
      </x:c>
      <x:c r="D16" s="163" t="str">
        <x:v>Pipeline modular com dados persistidos</x:v>
      </x:c>
      <x:c r="E16" s="163" t="str">
        <x:v>Alta</x:v>
      </x:c>
      <x:c r="F16" s="163" t="str">
        <x:v>Não iniciado</x:v>
      </x:c>
      <x:c r="G16" s="239" t="n">
        <x:v>0</x:v>
      </x:c>
      <x:c r="H16" s="163" t="n">
        <x:v>5</x:v>
      </x:c>
      <x:c r="I16" s="163" t="str"/>
      <x:c r="J16" s="163" t="str"/>
    </x:row>
    <x:row r="17">
      <x:c r="A17" s="163" t="n">
        <x:v>14</x:v>
      </x:c>
      <x:c r="B17" s="163" t="str">
        <x:v>Criar protótipo de extração de NF para dados estruturados</x:v>
      </x:c>
      <x:c r="C17" s="163" t="str">
        <x:v>Documentos</x:v>
      </x:c>
      <x:c r="D17" s="163" t="str">
        <x:v>Campos de NF extraídos em estrutura padronizada</x:v>
      </x:c>
      <x:c r="E17" s="163" t="str">
        <x:v>Média</x:v>
      </x:c>
      <x:c r="F17" s="163" t="str">
        <x:v>Não iniciado</x:v>
      </x:c>
      <x:c r="G17" s="239" t="n">
        <x:v>0</x:v>
      </x:c>
      <x:c r="H17" s="163" t="n">
        <x:v>6</x:v>
      </x:c>
      <x:c r="I17" s="163" t="str"/>
      <x:c r="J17" s="163" t="str"/>
    </x:row>
    <x:row r="18">
      <x:c r="A18" s="163" t="n">
        <x:v>15</x:v>
      </x:c>
      <x:c r="B18" s="163" t="str">
        <x:v>Criar painel executivo e operacional</x:v>
      </x:c>
      <x:c r="C18" s="163" t="str">
        <x:v>Dashboard</x:v>
      </x:c>
      <x:c r="D18" s="163" t="str">
        <x:v>KPIs navegáveis e compreensíveis</x:v>
      </x:c>
      <x:c r="E18" s="163" t="str">
        <x:v>Alta</x:v>
      </x:c>
      <x:c r="F18" s="163" t="str">
        <x:v>Não iniciado</x:v>
      </x:c>
      <x:c r="G18" s="239" t="n">
        <x:v>0</x:v>
      </x:c>
      <x:c r="H18" s="163" t="n">
        <x:v>6</x:v>
      </x:c>
      <x:c r="I18" s="163" t="str"/>
      <x:c r="J18" s="163" t="str"/>
    </x:row>
    <x:row r="19">
      <x:c r="A19" s="163" t="n">
        <x:v>16</x:v>
      </x:c>
      <x:c r="B19" s="163" t="str">
        <x:v>Criar API para consulta de SKUs, KPIs e recomendações</x:v>
      </x:c>
      <x:c r="C19" s="163" t="str">
        <x:v>Backend</x:v>
      </x:c>
      <x:c r="D19" s="163" t="str">
        <x:v>Endpoints documentados e testados</x:v>
      </x:c>
      <x:c r="E19" s="163" t="str">
        <x:v>Média</x:v>
      </x:c>
      <x:c r="F19" s="163" t="str">
        <x:v>Não iniciado</x:v>
      </x:c>
      <x:c r="G19" s="239" t="n">
        <x:v>0</x:v>
      </x:c>
      <x:c r="H19" s="163" t="n">
        <x:v>7</x:v>
      </x:c>
      <x:c r="I19" s="163" t="str"/>
      <x:c r="J19" s="163" t="str"/>
    </x:row>
    <x:row r="20" ht="28.5">
      <x:c r="A20" s="163" t="n">
        <x:v>17</x:v>
      </x:c>
      <x:c r="B20" s="163" t="str">
        <x:v>Criar Copilot para perguntas e recomendações explicáveis</x:v>
      </x:c>
      <x:c r="C20" s="163" t="str">
        <x:v>Agente IA</x:v>
      </x:c>
      <x:c r="D20" s="163" t="str">
        <x:v>Respostas fundamentadas e justificadas</x:v>
      </x:c>
      <x:c r="E20" s="163" t="str">
        <x:v>Alta</x:v>
      </x:c>
      <x:c r="F20" s="163" t="str">
        <x:v>Não iniciado</x:v>
      </x:c>
      <x:c r="G20" s="239" t="n">
        <x:v>0</x:v>
      </x:c>
      <x:c r="H20" s="163" t="n">
        <x:v>8</x:v>
      </x:c>
      <x:c r="I20" s="163" t="str"/>
      <x:c r="J20" s="163" t="str"/>
    </x:row>
    <x:row r="21">
      <x:c r="A21" s="163" t="n">
        <x:v>18</x:v>
      </x:c>
      <x:c r="B21" s="163" t="str">
        <x:v>Testar, documentar, publicar demo e release v1.0</x:v>
      </x:c>
      <x:c r="C21" s="163" t="str">
        <x:v>Release</x:v>
      </x:c>
      <x:c r="D21" s="163" t="str">
        <x:v>Case reproduzível e publicável</x:v>
      </x:c>
      <x:c r="E21" s="163" t="str">
        <x:v>Alta</x:v>
      </x:c>
      <x:c r="F21" s="163" t="str">
        <x:v>Não iniciado</x:v>
      </x:c>
      <x:c r="G21" s="239" t="n">
        <x:v>0</x:v>
      </x:c>
      <x:c r="H21" s="163" t="n">
        <x:v>8</x:v>
      </x:c>
      <x:c r="I21" s="163" t="str"/>
      <x:c r="J21" s="163" t="str"/>
    </x:row>
    <x:row r="22" ht="28.5">
      <x:c r="A22" s="1"/>
      <x:c r="B22" s="1"/>
      <x:c r="C22" s="1"/>
      <x:c r="D22" s="1"/>
      <x:c r="E22" s="1"/>
      <x:c r="F22" s="1"/>
      <x:c r="G22" s="31"/>
      <x:c r="H22" s="1"/>
      <x:c r="I22" s="1"/>
      <x:c r="J22" s="1"/>
    </x:row>
    <x:row r="23" ht="28.5">
      <x:c r="A23" s="1"/>
      <x:c r="B23" s="1"/>
      <x:c r="C23" s="1"/>
      <x:c r="D23" s="1"/>
      <x:c r="E23" s="1"/>
      <x:c r="F23" s="1"/>
      <x:c r="G23" s="31"/>
      <x:c r="H23" s="1"/>
      <x:c r="I23" s="1"/>
      <x:c r="J23" s="1"/>
    </x:row>
  </x:sheetData>
  <x:mergeCells>
    <x:mergeCell ref="A1:J1"/>
  </x:mergeCells>
  <x:conditionalFormatting sqref="G4:G23">
    <x:cfRule type="dataBar" priority="1">
      <x:dataBar>
        <x:cfvo type="min"/>
        <x:cfvo type="max"/>
        <x:color rgb="FF5B9BD5"/>
      </x:dataBar>
    </x:cfRule>
    <x:cfRule type="dataBar" priority="2">
      <x:dataBar>
        <x:cfvo type="min"/>
        <x:cfvo type="max"/>
        <x:color rgb="FF5B9BD5"/>
      </x:dataBar>
    </x:cfRule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{9F45C56D-E036-934D-9FE8-71AD454E927B}</x14:id>
        </x:ext>
      </x:extLst>
    </x:cfRule>
  </x:conditionalFormatting>
  <x:conditionalFormatting sqref="F4:F21">
    <x:cfRule type="expression" dxfId="8" priority="4">
      <x:formula>F4="Concluído"</x:formula>
    </x:cfRule>
    <x:cfRule type="expression" dxfId="9" priority="5">
      <x:formula>F4="Em andamento"</x:formula>
    </x:cfRule>
    <x:cfRule type="expression" dxfId="10" priority="6">
      <x:formula>F4="Não iniciado"</x:formula>
    </x:cfRule>
    <x:cfRule type="expression" dxfId="11" priority="7">
      <x:formula>F4="Bloqueado"</x:formula>
    </x:cfRule>
  </x:conditionalFormatting>
  <x:conditionalFormatting sqref="G4:G21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{A70C2F15-5D76-DC17-8A6B-181729C1C45D}</x14:id>
        </x:ext>
      </x:extLst>
    </x:cfRule>
  </x:conditionalFormatting>
  <x:dataValidations count="5">
    <x:dataValidation type="list" sqref="E4:E23">
      <x:formula1>"Alta,Média,Baixa"</x:formula1>
    </x:dataValidation>
    <x:dataValidation type="list" sqref="F4:F23">
      <x:formula1>"Não iniciado,Em andamento,Concluído,Bloqueado"</x:formula1>
    </x:dataValidation>
    <x:dataValidation sqref="G4:G23">
      <x:formula1>0</x:formula1>
      <x:formula2>100</x:formula2>
    </x:dataValidation>
    <x:dataValidation type="list" sqref="F4:F21">
      <x:formula1>"Não iniciado,Em andamento,Concluído,Bloqueado"</x:formula1>
    </x:dataValidation>
    <x:dataValidation type="list" sqref="E4:E21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8a107ec0e143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F45C56D-E036-934D-9FE8-71AD454E927B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G4:G23</xm:sqref>
        </x14:conditionalFormatting>
        <x14:conditionalFormatting>
          <x14:cfRule type="dataBar" priority="8" id="{A70C2F15-5D76-DC17-8A6B-181729C1C45D}">
            <x14:dataBar gradient="1">
              <x14:cfvo type="min"/>
              <x14:cfvo type="max"/>
              <x14:fillColor rgb="FF5B9BD5"/>
            </x14:dataBar>
          </x14:cfRule>
          <xm:sqref>G4:G21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7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0" customHeight="1">
      <x:c r="A1" s="178" t="str">
        <x:v>Guia de uso — Gantt público do AI Supply Chain Copilot</x:v>
      </x:c>
      <x:c r="B1" s="178"/>
      <x:c r="C1" s="178"/>
      <x:c r="D1" s="178"/>
      <x:c r="E1" s="178"/>
      <x:c r="F1" s="178"/>
    </x:row>
    <x:row r="3" ht="28" customHeight="1">
      <x:c r="A3" s="246" t="str">
        <x:v>Seção</x:v>
      </x:c>
      <x:c r="B3" s="247" t="str">
        <x:v>Como usar</x:v>
      </x:c>
      <x:c r="C3" s="247"/>
      <x:c r="D3" s="247"/>
      <x:c r="E3" s="247"/>
      <x:c r="F3" s="248"/>
    </x:row>
    <x:row r="4">
      <x:c r="A4" s="190" t="str">
        <x:v>Visão Geral</x:v>
      </x:c>
      <x:c r="B4" s="163" t="str">
        <x:v>Resumo executivo, marcos e progresso calculado a partir do Backlog.</x:v>
      </x:c>
      <x:c r="C4" s="163"/>
      <x:c r="D4" s="163"/>
      <x:c r="E4" s="163"/>
      <x:c r="F4" s="252"/>
    </x:row>
    <x:row r="5">
      <x:c r="A5" s="190" t="str">
        <x:v>Cronograma Gantt</x:v>
      </x:c>
      <x:c r="B5" s="163" t="str">
        <x:v>Planejamento macro de 8 semanas. As células marcadas representam o período de execução.</x:v>
      </x:c>
      <x:c r="C5" s="163"/>
      <x:c r="D5" s="163"/>
      <x:c r="E5" s="163"/>
      <x:c r="F5" s="252"/>
    </x:row>
    <x:row r="6">
      <x:c r="A6" s="190" t="str">
        <x:v>Backlog</x:v>
      </x:c>
      <x:c r="B6" s="163" t="str">
        <x:v>Controle leve das entregas, critérios de aceite, status e evidências.</x:v>
      </x:c>
      <x:c r="C6" s="163"/>
      <x:c r="D6" s="163"/>
      <x:c r="E6" s="163"/>
      <x:c r="F6" s="252"/>
    </x:row>
    <x:row r="7" ht="28.5">
      <x:c r="A7" s="190" t="str">
        <x:v>Plano Diário</x:v>
      </x:c>
      <x:c r="B7" s="163" t="str">
        <x:v>Aba opcional para registros de execução; não é requisito para avançar o projeto.</x:v>
      </x:c>
      <x:c r="C7" s="163"/>
      <x:c r="D7" s="163"/>
      <x:c r="E7" s="163"/>
      <x:c r="F7" s="252"/>
    </x:row>
    <x:row r="8" ht="28.5">
      <x:c r="A8" s="190" t="str">
        <x:v>Status</x:v>
      </x:c>
      <x:c r="B8" s="163" t="str">
        <x:v>Concluído | Em andamento | Não iniciado | Bloqueado</x:v>
      </x:c>
      <x:c r="C8" s="163"/>
      <x:c r="D8" s="163"/>
      <x:c r="E8" s="163"/>
      <x:c r="F8" s="252"/>
    </x:row>
    <x:row r="9">
      <x:c r="A9" s="253" t="str">
        <x:v>Percentual</x:v>
      </x:c>
      <x:c r="B9" s="254" t="str">
        <x:v>Registrar 0 a 100 apenas quando houver evidência objetiva.</x:v>
      </x:c>
      <x:c r="C9" s="254"/>
      <x:c r="D9" s="254"/>
      <x:c r="E9" s="254"/>
      <x:c r="F9" s="255"/>
    </x:row>
    <x:row r="10">
      <x:c r="A10" s="163" t="str">
        <x:v>Escopo</x:v>
      </x:c>
      <x:c r="B10" s="163" t="str">
        <x:v>O roadmap pode ser ajustado para preservar o foco em automação, dados e IA.</x:v>
      </x:c>
      <x:c r="C10" s="163"/>
      <x:c r="D10" s="163"/>
      <x:c r="E10" s="163"/>
      <x:c r="F10" s="163"/>
    </x:row>
    <x:row r="11">
      <x:c r="A11" s="163" t="str">
        <x:v>Confidencialidade</x:v>
      </x:c>
      <x:c r="B11" s="163" t="str">
        <x:v>Todos os dados e cenários publicados são fictícios e sintéticos.</x:v>
      </x:c>
      <x:c r="C11" s="163"/>
      <x:c r="D11" s="163"/>
      <x:c r="E11" s="163"/>
      <x:c r="F11" s="163"/>
    </x:row>
    <x:row r="12">
      <x:c r="A12" s="163" t="str">
        <x:v>Atualização</x:v>
      </x:c>
      <x:c r="B12" s="163" t="str">
        <x:v>Versão alinhada ao Inventory Analytics MVP v0.2.0 em 29/07/2026.</x:v>
      </x:c>
      <x:c r="C12" s="163"/>
      <x:c r="D12" s="163"/>
      <x:c r="E12" s="163"/>
      <x:c r="F12" s="163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6" hidden="0" customWidth="1"/>
    <x:col min="2" max="2" width="12" hidden="0" customWidth="1"/>
    <x:col min="3" max="3" width="8" hidden="0" customWidth="1"/>
    <x:col min="4" max="4" width="18" hidden="0" customWidth="1"/>
    <x:col min="5" max="5" width="32" hidden="0" customWidth="1"/>
    <x:col min="6" max="6" width="32" hidden="0" customWidth="1"/>
    <x:col min="7" max="8" width="15" customWidth="1"/>
    <x:col min="9" max="9" width="12" hidden="0" customWidth="1"/>
    <x:col min="10" max="10" width="30" hidden="0" customWidth="1"/>
    <x:col min="11" max="12" width="28" customWidth="1"/>
    <x:col min="13" max="13" width="30" hidden="0" customWidth="1"/>
    <x:col min="14" max="14" width="30" hidden="0" customWidth="1"/>
    <x:col min="7" max="7" width="12" hidden="0" customWidth="1"/>
    <x:col min="8" max="8" width="14" hidden="0" customWidth="1"/>
    <x:col min="11" max="11" width="30" hidden="0" customWidth="1"/>
    <x:col min="12" max="12" width="30" hidden="0" customWidth="1"/>
  </x:cols>
  <x:sheetData>
    <x:row r="1" ht="30" customHeight="1">
      <x:c r="A1" s="178" t="str">
        <x:v>AI Supply Chain Copilot — Registro Leve de Execução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</x:row>
    <x:row r="3" ht="28" customHeight="1">
      <x:c r="A3" s="127" t="str">
        <x:v>Indicador</x:v>
      </x:c>
      <x:c r="B3" s="127" t="str">
        <x:v>Valor</x:v>
      </x:c>
      <x:c r="C3" s="127"/>
      <x:c r="D3" s="127" t="str">
        <x:v>Regra</x:v>
      </x:c>
      <x:c r="E3" s="36"/>
      <x:c r="F3" s="36"/>
    </x:row>
    <x:row r="4">
      <x:c r="A4" s="163" t="str">
        <x:v>Dias registrados</x:v>
      </x:c>
      <x:c r="B4" s="163" t="n">
        <x:v>5</x:v>
      </x:c>
      <x:c r="C4" s="163"/>
      <x:c r="D4" s="163" t="str">
        <x:v>Registrar somente sessões com entrega objetiva.</x:v>
      </x:c>
      <x:c r="F4" s="161"/>
    </x:row>
    <x:row r="5">
      <x:c r="A5" s="163" t="str">
        <x:v>Dias concluídos</x:v>
      </x:c>
      <x:c r="B5" s="163" t="n">
        <x:v>4</x:v>
      </x:c>
      <x:c r="C5" s="163"/>
      <x:c r="D5" s="163" t="str">
        <x:v>A aba é opcional e não deve virar burocracia.</x:v>
      </x:c>
      <x:c r="F5" s="161"/>
    </x:row>
    <x:row r="6">
      <x:c r="A6" s="163" t="str">
        <x:v>Aderência</x:v>
      </x:c>
      <x:c r="B6" s="175" t="n">
        <x:v>0.8</x:v>
      </x:c>
      <x:c r="C6" s="163"/>
      <x:c r="D6" s="163" t="str">
        <x:v>Priorizar progresso do produto sobre controle excessivo.</x:v>
      </x:c>
      <x:c r="F6" s="161"/>
    </x:row>
    <x:row r="8" ht="28" customHeight="1">
      <x:c r="A8" s="127" t="str">
        <x:v>Dia</x:v>
      </x:c>
      <x:c r="B8" s="127" t="str">
        <x:v>Data</x:v>
      </x:c>
      <x:c r="C8" s="127" t="str">
        <x:v>Semana</x:v>
      </x:c>
      <x:c r="D8" s="127" t="str">
        <x:v>Fase</x:v>
      </x:c>
      <x:c r="E8" s="127" t="str">
        <x:v>Atividade planejada</x:v>
      </x:c>
      <x:c r="F8" s="127" t="str">
        <x:v>Entrega esperada</x:v>
      </x:c>
      <x:c r="G8" s="127" t="str">
        <x:v>Tempo estimado (h)</x:v>
      </x:c>
      <x:c r="H8" s="127" t="str">
        <x:v>Status</x:v>
      </x:c>
      <x:c r="I8" s="127" t="str">
        <x:v>% concluído</x:v>
      </x:c>
      <x:c r="J8" s="127" t="str">
        <x:v>O que foi feito</x:v>
      </x:c>
      <x:c r="K8" s="127" t="str">
        <x:v>Evidência / commit</x:v>
      </x:c>
      <x:c r="L8" s="127" t="str">
        <x:v>Desvio ou bloqueio</x:v>
      </x:c>
      <x:c r="M8" s="127" t="str">
        <x:v>Próximo passo</x:v>
      </x:c>
      <x:c r="N8" s="127" t="str">
        <x:v>Avaliação</x:v>
      </x:c>
    </x:row>
    <x:row r="9" ht="57.75">
      <x:c r="A9" s="163" t="n">
        <x:v>1</x:v>
      </x:c>
      <x:c r="B9" s="185" t="n">
        <x:v>46226</x:v>
      </x:c>
      <x:c r="C9" s="163" t="n">
        <x:v>1</x:v>
      </x:c>
      <x:c r="D9" s="163" t="str">
        <x:v>Fundação</x:v>
      </x:c>
      <x:c r="E9" s="163" t="str">
        <x:v>Configurar repositório e ambiente</x:v>
      </x:c>
      <x:c r="F9" s="163" t="str">
        <x:v>Estrutura publicada</x:v>
      </x:c>
      <x:c r="G9" s="260" t="n">
        <x:v>2</x:v>
      </x:c>
      <x:c r="H9" s="163" t="str">
        <x:v>Concluído</x:v>
      </x:c>
      <x:c r="I9" s="239" t="n">
        <x:v>100</x:v>
      </x:c>
      <x:c r="J9" s="163" t="str">
        <x:v>Git, GitHub, VS Code, .venv e estrutura de pastas.</x:v>
      </x:c>
      <x:c r="K9" s="163" t="str">
        <x:v>Primeiro commit</x:v>
      </x:c>
      <x:c r="L9" s="163" t="str"/>
      <x:c r="M9" s="163" t="str">
        <x:v>Criar dataset sintético</x:v>
      </x:c>
      <x:c r="N9" s="163" t="str">
        <x:v>Acima do esperado</x:v>
      </x:c>
    </x:row>
    <x:row r="10" ht="28.5">
      <x:c r="A10" s="163" t="n">
        <x:v>2</x:v>
      </x:c>
      <x:c r="B10" s="185" t="n">
        <x:v>46227</x:v>
      </x:c>
      <x:c r="C10" s="163" t="n">
        <x:v>1</x:v>
      </x:c>
      <x:c r="D10" s="163" t="str">
        <x:v>Python / Dados</x:v>
      </x:c>
      <x:c r="E10" s="163" t="str">
        <x:v>Iniciar leitura com Pandas</x:v>
      </x:c>
      <x:c r="F10" s="163" t="str">
        <x:v>CSV lido e explorado</x:v>
      </x:c>
      <x:c r="G10" s="260" t="n">
        <x:v>2</x:v>
      </x:c>
      <x:c r="H10" s="163" t="str">
        <x:v>Concluído</x:v>
      </x:c>
      <x:c r="I10" s="239" t="n">
        <x:v>100</x:v>
      </x:c>
      <x:c r="J10" s="163" t="str">
        <x:v>Leitura, head, info, shape e colunas.</x:v>
      </x:c>
      <x:c r="K10" s="163" t="str">
        <x:v>scripts/ler_pedidos.py</x:v>
      </x:c>
      <x:c r="L10" s="163" t="str"/>
      <x:c r="M10" s="163" t="str">
        <x:v>Criar base de inventário</x:v>
      </x:c>
      <x:c r="N10" s="163" t="str">
        <x:v>Concluído</x:v>
      </x:c>
    </x:row>
    <x:row r="11" ht="28.5">
      <x:c r="A11" s="163" t="n">
        <x:v>3</x:v>
      </x:c>
      <x:c r="B11" s="185" t="n">
        <x:v>46231</x:v>
      </x:c>
      <x:c r="C11" s="163" t="n">
        <x:v>1</x:v>
      </x:c>
      <x:c r="D11" s="163" t="str">
        <x:v>Dados / Qualidade</x:v>
      </x:c>
      <x:c r="E11" s="163" t="str">
        <x:v>Criar e validar inventário sintético</x:v>
      </x:c>
      <x:c r="F11" s="163" t="str">
        <x:v>Base validada</x:v>
      </x:c>
      <x:c r="G11" s="260" t="n">
        <x:v>3</x:v>
      </x:c>
      <x:c r="H11" s="163" t="str">
        <x:v>Concluído</x:v>
      </x:c>
      <x:c r="I11" s="239" t="n">
        <x:v>100</x:v>
      </x:c>
      <x:c r="J11" s="163" t="str">
        <x:v>Dataset ERP, SKUs, duplicidades e campos críticos.</x:v>
      </x:c>
      <x:c r="K11" s="163" t="str">
        <x:v>sample_data/erp_inventory.csv</x:v>
      </x:c>
      <x:c r="L11" s="163" t="str"/>
      <x:c r="M11" s="163" t="str">
        <x:v>Criar indicadores</x:v>
      </x:c>
      <x:c r="N11" s="163" t="str">
        <x:v>Acima do esperado</x:v>
      </x:c>
    </x:row>
    <x:row r="12">
      <x:c r="A12" s="163" t="n">
        <x:v>4</x:v>
      </x:c>
      <x:c r="B12" s="185" t="n">
        <x:v>46232</x:v>
      </x:c>
      <x:c r="C12" s="163" t="n">
        <x:v>1</x:v>
      </x:c>
      <x:c r="D12" s="163" t="str">
        <x:v>Supply Chain</x:v>
      </x:c>
      <x:c r="E12" s="163" t="str">
        <x:v>Criar Inventory Analytics MVP</x:v>
      </x:c>
      <x:c r="F12" s="163" t="str">
        <x:v>Indicadores e recomendações exportadas</x:v>
      </x:c>
      <x:c r="G12" s="260" t="n">
        <x:v>4</x:v>
      </x:c>
      <x:c r="H12" s="163" t="str">
        <x:v>Concluído</x:v>
      </x:c>
      <x:c r="I12" s="239" t="n">
        <x:v>100</x:v>
      </x:c>
      <x:c r="J12" s="163" t="str">
        <x:v>Valor, reposição, excesso, cobertura, risco, ação e prioridade.</x:v>
      </x:c>
      <x:c r="K12" s="163" t="str">
        <x:v>scripts/analyze_inventory.py</x:v>
      </x:c>
      <x:c r="L12" s="163" t="str">
        <x:v>CSV aberto no Excel bloqueou uma execução; resolvido.</x:v>
      </x:c>
      <x:c r="M12" s="163" t="str">
        <x:v>Atualizar documentação e commit</x:v>
      </x:c>
      <x:c r="N12" s="163" t="str">
        <x:v>Acima do esperado</x:v>
      </x:c>
    </x:row>
    <x:row r="13" ht="28.5">
      <x:c r="A13" s="163" t="n">
        <x:v>5</x:v>
      </x:c>
      <x:c r="B13" s="185" t="n">
        <x:v>46233</x:v>
      </x:c>
      <x:c r="C13" s="163" t="n">
        <x:v>2</x:v>
      </x:c>
      <x:c r="D13" s="163" t="str">
        <x:v>Portfólio</x:v>
      </x:c>
      <x:c r="E13" s="163" t="str">
        <x:v>Publicar v0.2.0</x:v>
      </x:c>
      <x:c r="F13" s="163" t="str">
        <x:v>README, Gantt, commit e push</x:v>
      </x:c>
      <x:c r="G13" s="260" t="n">
        <x:v>2</x:v>
      </x:c>
      <x:c r="H13" s="163" t="str">
        <x:v>Em andamento</x:v>
      </x:c>
      <x:c r="I13" s="239" t="n">
        <x:v>70</x:v>
      </x:c>
      <x:c r="J13" s="163" t="str">
        <x:v>README e Gantt atualizados.</x:v>
      </x:c>
      <x:c r="K13" s="163" t="str">
        <x:v>README.md / docs/Gantt</x:v>
      </x:c>
      <x:c r="L13" s="163" t="str"/>
      <x:c r="M13" s="163" t="str">
        <x:v>Executar checklist final e publicar</x:v>
      </x:c>
      <x:c r="N13" s="163" t="str">
        <x:v>Em andamento</x:v>
      </x:c>
    </x:row>
    <x:row r="14" ht="28.5">
      <x:c r="A14" s="42"/>
      <x:c r="B14" s="25"/>
      <x:c r="C14" s="1"/>
      <x:c r="D14" s="1"/>
      <x:c r="E14" s="1"/>
      <x:c r="F14" s="1"/>
      <x:c r="G14" s="37"/>
      <x:c r="H14" s="1"/>
      <x:c r="I14" s="38"/>
      <x:c r="J14" s="1"/>
      <x:c r="K14" s="1"/>
      <x:c r="L14" s="1"/>
      <x:c r="M14" s="1"/>
      <x:c r="N14" s="43"/>
    </x:row>
    <x:row r="15" ht="28.5">
      <x:c r="A15" s="42"/>
      <x:c r="B15" s="25"/>
      <x:c r="C15" s="1"/>
      <x:c r="D15" s="1"/>
      <x:c r="E15" s="1"/>
      <x:c r="F15" s="1"/>
      <x:c r="G15" s="37"/>
      <x:c r="H15" s="1"/>
      <x:c r="I15" s="38"/>
      <x:c r="J15" s="1"/>
      <x:c r="K15" s="1"/>
      <x:c r="L15" s="1"/>
      <x:c r="M15" s="1"/>
      <x:c r="N15" s="43"/>
    </x:row>
    <x:row r="16" ht="28.5">
      <x:c r="A16" s="42"/>
      <x:c r="B16" s="25"/>
      <x:c r="C16" s="1"/>
      <x:c r="D16" s="1"/>
      <x:c r="E16" s="1"/>
      <x:c r="F16" s="1"/>
      <x:c r="G16" s="37"/>
      <x:c r="H16" s="1"/>
      <x:c r="I16" s="38"/>
      <x:c r="J16" s="1"/>
      <x:c r="K16" s="1"/>
      <x:c r="L16" s="1"/>
      <x:c r="M16" s="1"/>
      <x:c r="N16" s="43"/>
    </x:row>
    <x:row r="17" ht="28.5">
      <x:c r="A17" s="42"/>
      <x:c r="B17" s="25"/>
      <x:c r="C17" s="1"/>
      <x:c r="D17" s="1"/>
      <x:c r="E17" s="1"/>
      <x:c r="F17" s="1"/>
      <x:c r="G17" s="37"/>
      <x:c r="H17" s="1"/>
      <x:c r="I17" s="38"/>
      <x:c r="J17" s="1"/>
      <x:c r="K17" s="1"/>
      <x:c r="L17" s="1"/>
      <x:c r="M17" s="1"/>
      <x:c r="N17" s="43"/>
    </x:row>
    <x:row r="18" ht="28.5">
      <x:c r="A18" s="42"/>
      <x:c r="B18" s="25"/>
      <x:c r="C18" s="1"/>
      <x:c r="D18" s="1"/>
      <x:c r="E18" s="1"/>
      <x:c r="F18" s="1"/>
      <x:c r="G18" s="37"/>
      <x:c r="H18" s="1"/>
      <x:c r="I18" s="38"/>
      <x:c r="J18" s="1"/>
      <x:c r="K18" s="1"/>
      <x:c r="L18" s="1"/>
      <x:c r="M18" s="1"/>
      <x:c r="N18" s="43"/>
    </x:row>
    <x:row r="19" ht="28.5">
      <x:c r="A19" s="42"/>
      <x:c r="B19" s="25"/>
      <x:c r="C19" s="1"/>
      <x:c r="D19" s="1"/>
      <x:c r="E19" s="1"/>
      <x:c r="F19" s="1"/>
      <x:c r="G19" s="37"/>
      <x:c r="H19" s="1"/>
      <x:c r="I19" s="38"/>
      <x:c r="J19" s="1"/>
      <x:c r="K19" s="1"/>
      <x:c r="L19" s="1"/>
      <x:c r="M19" s="1"/>
      <x:c r="N19" s="43"/>
    </x:row>
    <x:row r="20" ht="28.5">
      <x:c r="A20" s="42"/>
      <x:c r="B20" s="25"/>
      <x:c r="C20" s="1"/>
      <x:c r="D20" s="1"/>
      <x:c r="E20" s="1"/>
      <x:c r="F20" s="1"/>
      <x:c r="G20" s="37"/>
      <x:c r="H20" s="1"/>
      <x:c r="I20" s="38"/>
      <x:c r="J20" s="1"/>
      <x:c r="K20" s="1"/>
      <x:c r="L20" s="1"/>
      <x:c r="M20" s="1"/>
      <x:c r="N20" s="43"/>
    </x:row>
    <x:row r="21">
      <x:c r="A21" s="42"/>
      <x:c r="B21" s="25"/>
      <x:c r="C21" s="1"/>
      <x:c r="D21" s="1"/>
      <x:c r="E21" s="1"/>
      <x:c r="F21" s="1"/>
      <x:c r="G21" s="37"/>
      <x:c r="H21" s="1"/>
      <x:c r="I21" s="38"/>
      <x:c r="J21" s="1"/>
      <x:c r="K21" s="1"/>
      <x:c r="L21" s="1"/>
      <x:c r="M21" s="1"/>
      <x:c r="N21" s="43"/>
    </x:row>
    <x:row r="22" ht="28.5">
      <x:c r="A22" s="42"/>
      <x:c r="B22" s="25"/>
      <x:c r="C22" s="1"/>
      <x:c r="D22" s="1"/>
      <x:c r="E22" s="1"/>
      <x:c r="F22" s="1"/>
      <x:c r="G22" s="37"/>
      <x:c r="H22" s="1"/>
      <x:c r="I22" s="38"/>
      <x:c r="J22" s="1"/>
      <x:c r="K22" s="1"/>
      <x:c r="L22" s="1"/>
      <x:c r="M22" s="1"/>
      <x:c r="N22" s="43"/>
    </x:row>
    <x:row r="23">
      <x:c r="A23" s="42"/>
      <x:c r="B23" s="25"/>
      <x:c r="C23" s="1"/>
      <x:c r="D23" s="1"/>
      <x:c r="E23" s="1"/>
      <x:c r="F23" s="1"/>
      <x:c r="G23" s="37"/>
      <x:c r="H23" s="1"/>
      <x:c r="I23" s="38"/>
      <x:c r="J23" s="1"/>
      <x:c r="K23" s="1"/>
      <x:c r="L23" s="1"/>
      <x:c r="M23" s="1"/>
      <x:c r="N23" s="43"/>
    </x:row>
    <x:row r="24" ht="28.5">
      <x:c r="A24" s="42"/>
      <x:c r="B24" s="25"/>
      <x:c r="C24" s="1"/>
      <x:c r="D24" s="1"/>
      <x:c r="E24" s="1"/>
      <x:c r="F24" s="1"/>
      <x:c r="G24" s="37"/>
      <x:c r="H24" s="1"/>
      <x:c r="I24" s="38"/>
      <x:c r="J24" s="1"/>
      <x:c r="K24" s="1"/>
      <x:c r="L24" s="1"/>
      <x:c r="M24" s="1"/>
      <x:c r="N24" s="43"/>
    </x:row>
    <x:row r="25">
      <x:c r="A25" s="42"/>
      <x:c r="B25" s="25"/>
      <x:c r="C25" s="1"/>
      <x:c r="D25" s="1"/>
      <x:c r="E25" s="1"/>
      <x:c r="F25" s="1"/>
      <x:c r="G25" s="37"/>
      <x:c r="H25" s="1"/>
      <x:c r="I25" s="38"/>
      <x:c r="J25" s="1"/>
      <x:c r="K25" s="1"/>
      <x:c r="L25" s="1"/>
      <x:c r="M25" s="1"/>
      <x:c r="N25" s="43"/>
    </x:row>
    <x:row r="26" ht="28.5">
      <x:c r="A26" s="42"/>
      <x:c r="B26" s="25"/>
      <x:c r="C26" s="1"/>
      <x:c r="D26" s="1"/>
      <x:c r="E26" s="1"/>
      <x:c r="F26" s="1"/>
      <x:c r="G26" s="37"/>
      <x:c r="H26" s="1"/>
      <x:c r="I26" s="38"/>
      <x:c r="J26" s="1"/>
      <x:c r="K26" s="1"/>
      <x:c r="L26" s="1"/>
      <x:c r="M26" s="1"/>
      <x:c r="N26" s="43"/>
    </x:row>
    <x:row r="27" ht="28.5">
      <x:c r="A27" s="42"/>
      <x:c r="B27" s="25"/>
      <x:c r="C27" s="1"/>
      <x:c r="D27" s="1"/>
      <x:c r="E27" s="1"/>
      <x:c r="F27" s="1"/>
      <x:c r="G27" s="37"/>
      <x:c r="H27" s="1"/>
      <x:c r="I27" s="38"/>
      <x:c r="J27" s="1"/>
      <x:c r="K27" s="1"/>
      <x:c r="L27" s="1"/>
      <x:c r="M27" s="1"/>
      <x:c r="N27" s="43"/>
    </x:row>
    <x:row r="28">
      <x:c r="A28" s="42"/>
      <x:c r="B28" s="25"/>
      <x:c r="C28" s="1"/>
      <x:c r="D28" s="1"/>
      <x:c r="E28" s="1"/>
      <x:c r="F28" s="1"/>
      <x:c r="G28" s="37"/>
      <x:c r="H28" s="1"/>
      <x:c r="I28" s="38"/>
      <x:c r="J28" s="1"/>
      <x:c r="K28" s="1"/>
      <x:c r="L28" s="1"/>
      <x:c r="M28" s="1"/>
      <x:c r="N28" s="43"/>
    </x:row>
    <x:row r="29" ht="28.5">
      <x:c r="A29" s="42"/>
      <x:c r="B29" s="25"/>
      <x:c r="C29" s="1"/>
      <x:c r="D29" s="1"/>
      <x:c r="E29" s="1"/>
      <x:c r="F29" s="1"/>
      <x:c r="G29" s="37"/>
      <x:c r="H29" s="1"/>
      <x:c r="I29" s="38"/>
      <x:c r="J29" s="1"/>
      <x:c r="K29" s="1"/>
      <x:c r="L29" s="1"/>
      <x:c r="M29" s="1"/>
      <x:c r="N29" s="43"/>
    </x:row>
    <x:row r="30">
      <x:c r="A30" s="42"/>
      <x:c r="B30" s="25"/>
      <x:c r="C30" s="1"/>
      <x:c r="D30" s="1"/>
      <x:c r="E30" s="1"/>
      <x:c r="F30" s="1"/>
      <x:c r="G30" s="37"/>
      <x:c r="H30" s="1"/>
      <x:c r="I30" s="38"/>
      <x:c r="J30" s="1"/>
      <x:c r="K30" s="1"/>
      <x:c r="L30" s="1"/>
      <x:c r="M30" s="1"/>
      <x:c r="N30" s="43"/>
    </x:row>
    <x:row r="31" ht="28.5">
      <x:c r="A31" s="42"/>
      <x:c r="B31" s="25"/>
      <x:c r="C31" s="1"/>
      <x:c r="D31" s="1"/>
      <x:c r="E31" s="1"/>
      <x:c r="F31" s="1"/>
      <x:c r="G31" s="37"/>
      <x:c r="H31" s="1"/>
      <x:c r="I31" s="38"/>
      <x:c r="J31" s="1"/>
      <x:c r="K31" s="1"/>
      <x:c r="L31" s="1"/>
      <x:c r="M31" s="1"/>
      <x:c r="N31" s="43"/>
    </x:row>
    <x:row r="32">
      <x:c r="A32" s="42"/>
      <x:c r="B32" s="25"/>
      <x:c r="C32" s="1"/>
      <x:c r="D32" s="1"/>
      <x:c r="E32" s="1"/>
      <x:c r="F32" s="1"/>
      <x:c r="G32" s="37"/>
      <x:c r="H32" s="1"/>
      <x:c r="I32" s="38"/>
      <x:c r="J32" s="1"/>
      <x:c r="K32" s="1"/>
      <x:c r="L32" s="1"/>
      <x:c r="M32" s="1"/>
      <x:c r="N32" s="43"/>
    </x:row>
    <x:row r="33">
      <x:c r="A33" s="42"/>
      <x:c r="B33" s="25"/>
      <x:c r="C33" s="1"/>
      <x:c r="D33" s="1"/>
      <x:c r="E33" s="1"/>
      <x:c r="F33" s="1"/>
      <x:c r="G33" s="37"/>
      <x:c r="H33" s="1"/>
      <x:c r="I33" s="38"/>
      <x:c r="J33" s="1"/>
      <x:c r="K33" s="1"/>
      <x:c r="L33" s="1"/>
      <x:c r="M33" s="1"/>
      <x:c r="N33" s="43"/>
    </x:row>
    <x:row r="34" ht="28.5">
      <x:c r="A34" s="42"/>
      <x:c r="B34" s="25"/>
      <x:c r="C34" s="1"/>
      <x:c r="D34" s="1"/>
      <x:c r="E34" s="1"/>
      <x:c r="F34" s="1"/>
      <x:c r="G34" s="37"/>
      <x:c r="H34" s="1"/>
      <x:c r="I34" s="38"/>
      <x:c r="J34" s="1"/>
      <x:c r="K34" s="1"/>
      <x:c r="L34" s="1"/>
      <x:c r="M34" s="1"/>
      <x:c r="N34" s="43"/>
    </x:row>
    <x:row r="35">
      <x:c r="A35" s="42"/>
      <x:c r="B35" s="25"/>
      <x:c r="C35" s="1"/>
      <x:c r="D35" s="1"/>
      <x:c r="E35" s="1"/>
      <x:c r="F35" s="1"/>
      <x:c r="G35" s="37"/>
      <x:c r="H35" s="1"/>
      <x:c r="I35" s="38"/>
      <x:c r="J35" s="1"/>
      <x:c r="K35" s="1"/>
      <x:c r="L35" s="1"/>
      <x:c r="M35" s="1"/>
      <x:c r="N35" s="43"/>
    </x:row>
    <x:row r="36">
      <x:c r="A36" s="42"/>
      <x:c r="B36" s="25"/>
      <x:c r="C36" s="1"/>
      <x:c r="D36" s="1"/>
      <x:c r="E36" s="1"/>
      <x:c r="F36" s="1"/>
      <x:c r="G36" s="37"/>
      <x:c r="H36" s="1"/>
      <x:c r="I36" s="38"/>
      <x:c r="J36" s="1"/>
      <x:c r="K36" s="1"/>
      <x:c r="L36" s="1"/>
      <x:c r="M36" s="1"/>
      <x:c r="N36" s="43"/>
    </x:row>
    <x:row r="37" ht="28.5">
      <x:c r="A37" s="42"/>
      <x:c r="B37" s="25"/>
      <x:c r="C37" s="1"/>
      <x:c r="D37" s="1"/>
      <x:c r="E37" s="1"/>
      <x:c r="F37" s="1"/>
      <x:c r="G37" s="37"/>
      <x:c r="H37" s="1"/>
      <x:c r="I37" s="38"/>
      <x:c r="J37" s="1"/>
      <x:c r="K37" s="1"/>
      <x:c r="L37" s="1"/>
      <x:c r="M37" s="1"/>
      <x:c r="N37" s="43"/>
    </x:row>
    <x:row r="38">
      <x:c r="A38" s="42"/>
      <x:c r="B38" s="25"/>
      <x:c r="C38" s="1"/>
      <x:c r="D38" s="1"/>
      <x:c r="E38" s="1"/>
      <x:c r="F38" s="1"/>
      <x:c r="G38" s="37"/>
      <x:c r="H38" s="1"/>
      <x:c r="I38" s="38"/>
      <x:c r="J38" s="1"/>
      <x:c r="K38" s="1"/>
      <x:c r="L38" s="1"/>
      <x:c r="M38" s="1"/>
      <x:c r="N38" s="43"/>
    </x:row>
    <x:row r="39">
      <x:c r="A39" s="42"/>
      <x:c r="B39" s="25"/>
      <x:c r="C39" s="1"/>
      <x:c r="D39" s="1"/>
      <x:c r="E39" s="1"/>
      <x:c r="F39" s="1"/>
      <x:c r="G39" s="37"/>
      <x:c r="H39" s="1"/>
      <x:c r="I39" s="38"/>
      <x:c r="J39" s="1"/>
      <x:c r="K39" s="1"/>
      <x:c r="L39" s="1"/>
      <x:c r="M39" s="1"/>
      <x:c r="N39" s="43"/>
    </x:row>
    <x:row r="40">
      <x:c r="A40" s="42"/>
      <x:c r="B40" s="25"/>
      <x:c r="C40" s="1"/>
      <x:c r="D40" s="1"/>
      <x:c r="E40" s="1"/>
      <x:c r="F40" s="1"/>
      <x:c r="G40" s="37"/>
      <x:c r="H40" s="1"/>
      <x:c r="I40" s="38"/>
      <x:c r="J40" s="1"/>
      <x:c r="K40" s="1"/>
      <x:c r="L40" s="1"/>
      <x:c r="M40" s="1"/>
      <x:c r="N40" s="43"/>
    </x:row>
    <x:row r="41">
      <x:c r="A41" s="42"/>
      <x:c r="B41" s="25"/>
      <x:c r="C41" s="1"/>
      <x:c r="D41" s="1"/>
      <x:c r="E41" s="1"/>
      <x:c r="F41" s="1"/>
      <x:c r="G41" s="37"/>
      <x:c r="H41" s="1"/>
      <x:c r="I41" s="38"/>
      <x:c r="J41" s="1"/>
      <x:c r="K41" s="1"/>
      <x:c r="L41" s="1"/>
      <x:c r="M41" s="1"/>
      <x:c r="N41" s="43"/>
    </x:row>
    <x:row r="42">
      <x:c r="A42" s="42"/>
      <x:c r="B42" s="25"/>
      <x:c r="C42" s="1"/>
      <x:c r="D42" s="1"/>
      <x:c r="E42" s="1"/>
      <x:c r="F42" s="1"/>
      <x:c r="G42" s="37"/>
      <x:c r="H42" s="1"/>
      <x:c r="I42" s="38"/>
      <x:c r="J42" s="1"/>
      <x:c r="K42" s="1"/>
      <x:c r="L42" s="1"/>
      <x:c r="M42" s="1"/>
      <x:c r="N42" s="43"/>
    </x:row>
    <x:row r="43">
      <x:c r="A43" s="42"/>
      <x:c r="B43" s="25"/>
      <x:c r="C43" s="1"/>
      <x:c r="D43" s="1"/>
      <x:c r="E43" s="1"/>
      <x:c r="F43" s="1"/>
      <x:c r="G43" s="37"/>
      <x:c r="H43" s="1"/>
      <x:c r="I43" s="38"/>
      <x:c r="J43" s="1"/>
      <x:c r="K43" s="1"/>
      <x:c r="L43" s="1"/>
      <x:c r="M43" s="1"/>
      <x:c r="N43" s="43"/>
    </x:row>
    <x:row r="44">
      <x:c r="A44" s="42"/>
      <x:c r="B44" s="25"/>
      <x:c r="C44" s="1"/>
      <x:c r="D44" s="1"/>
      <x:c r="E44" s="1"/>
      <x:c r="F44" s="1"/>
      <x:c r="G44" s="37"/>
      <x:c r="H44" s="1"/>
      <x:c r="I44" s="38"/>
      <x:c r="J44" s="1"/>
      <x:c r="K44" s="1"/>
      <x:c r="L44" s="1"/>
      <x:c r="M44" s="1"/>
      <x:c r="N44" s="43"/>
    </x:row>
    <x:row r="45">
      <x:c r="A45" s="42"/>
      <x:c r="B45" s="25"/>
      <x:c r="C45" s="1"/>
      <x:c r="D45" s="1"/>
      <x:c r="E45" s="1"/>
      <x:c r="F45" s="1"/>
      <x:c r="G45" s="37"/>
      <x:c r="H45" s="1"/>
      <x:c r="I45" s="38"/>
      <x:c r="J45" s="1"/>
      <x:c r="K45" s="1"/>
      <x:c r="L45" s="1"/>
      <x:c r="M45" s="1"/>
      <x:c r="N45" s="43"/>
    </x:row>
    <x:row r="46">
      <x:c r="A46" s="42"/>
      <x:c r="B46" s="25"/>
      <x:c r="C46" s="1"/>
      <x:c r="D46" s="1"/>
      <x:c r="E46" s="1"/>
      <x:c r="F46" s="1"/>
      <x:c r="G46" s="37"/>
      <x:c r="H46" s="1"/>
      <x:c r="I46" s="38"/>
      <x:c r="J46" s="1"/>
      <x:c r="K46" s="1"/>
      <x:c r="L46" s="1"/>
      <x:c r="M46" s="1"/>
      <x:c r="N46" s="43"/>
    </x:row>
    <x:row r="47">
      <x:c r="A47" s="42"/>
      <x:c r="B47" s="25"/>
      <x:c r="C47" s="1"/>
      <x:c r="D47" s="1"/>
      <x:c r="E47" s="1"/>
      <x:c r="F47" s="1"/>
      <x:c r="G47" s="37"/>
      <x:c r="H47" s="1"/>
      <x:c r="I47" s="38"/>
      <x:c r="J47" s="1"/>
      <x:c r="K47" s="1"/>
      <x:c r="L47" s="1"/>
      <x:c r="M47" s="1"/>
      <x:c r="N47" s="43"/>
    </x:row>
    <x:row r="48">
      <x:c r="A48" s="42"/>
      <x:c r="B48" s="25"/>
      <x:c r="C48" s="1"/>
      <x:c r="D48" s="1"/>
      <x:c r="E48" s="1"/>
      <x:c r="F48" s="1"/>
      <x:c r="G48" s="37"/>
      <x:c r="H48" s="1"/>
      <x:c r="I48" s="38"/>
      <x:c r="J48" s="1"/>
      <x:c r="K48" s="1"/>
      <x:c r="L48" s="1"/>
      <x:c r="M48" s="1"/>
      <x:c r="N48" s="43"/>
    </x:row>
    <x:row r="49" ht="28.5">
      <x:c r="A49" s="42"/>
      <x:c r="B49" s="25"/>
      <x:c r="C49" s="1"/>
      <x:c r="D49" s="1"/>
      <x:c r="E49" s="1"/>
      <x:c r="F49" s="1"/>
      <x:c r="G49" s="37"/>
      <x:c r="H49" s="1"/>
      <x:c r="I49" s="38"/>
      <x:c r="J49" s="1"/>
      <x:c r="K49" s="1"/>
      <x:c r="L49" s="1"/>
      <x:c r="M49" s="1"/>
      <x:c r="N49" s="43"/>
    </x:row>
    <x:row r="50">
      <x:c r="A50" s="42"/>
      <x:c r="B50" s="25"/>
      <x:c r="C50" s="1"/>
      <x:c r="D50" s="1"/>
      <x:c r="E50" s="1"/>
      <x:c r="F50" s="1"/>
      <x:c r="G50" s="37"/>
      <x:c r="H50" s="1"/>
      <x:c r="I50" s="38"/>
      <x:c r="J50" s="1"/>
      <x:c r="K50" s="1"/>
      <x:c r="L50" s="1"/>
      <x:c r="M50" s="1"/>
      <x:c r="N50" s="43"/>
    </x:row>
    <x:row r="51">
      <x:c r="A51" s="42"/>
      <x:c r="B51" s="25"/>
      <x:c r="C51" s="1"/>
      <x:c r="D51" s="1"/>
      <x:c r="E51" s="1"/>
      <x:c r="F51" s="1"/>
      <x:c r="G51" s="37"/>
      <x:c r="H51" s="1"/>
      <x:c r="I51" s="38"/>
      <x:c r="J51" s="1"/>
      <x:c r="K51" s="1"/>
      <x:c r="L51" s="1"/>
      <x:c r="M51" s="1"/>
      <x:c r="N51" s="43"/>
    </x:row>
    <x:row r="52">
      <x:c r="A52" s="42"/>
      <x:c r="B52" s="25"/>
      <x:c r="C52" s="1"/>
      <x:c r="D52" s="1"/>
      <x:c r="E52" s="1"/>
      <x:c r="F52" s="1"/>
      <x:c r="G52" s="37"/>
      <x:c r="H52" s="1"/>
      <x:c r="I52" s="38"/>
      <x:c r="J52" s="1"/>
      <x:c r="K52" s="1"/>
      <x:c r="L52" s="1"/>
      <x:c r="M52" s="1"/>
      <x:c r="N52" s="43"/>
    </x:row>
    <x:row r="53" ht="28.5">
      <x:c r="A53" s="42"/>
      <x:c r="B53" s="25"/>
      <x:c r="C53" s="1"/>
      <x:c r="D53" s="1"/>
      <x:c r="E53" s="1"/>
      <x:c r="F53" s="1"/>
      <x:c r="G53" s="37"/>
      <x:c r="H53" s="1"/>
      <x:c r="I53" s="38"/>
      <x:c r="J53" s="1"/>
      <x:c r="K53" s="1"/>
      <x:c r="L53" s="1"/>
      <x:c r="M53" s="1"/>
      <x:c r="N53" s="43"/>
    </x:row>
    <x:row r="54">
      <x:c r="A54" s="42"/>
      <x:c r="B54" s="25"/>
      <x:c r="C54" s="1"/>
      <x:c r="D54" s="1"/>
      <x:c r="E54" s="1"/>
      <x:c r="F54" s="1"/>
      <x:c r="G54" s="37"/>
      <x:c r="H54" s="1"/>
      <x:c r="I54" s="38"/>
      <x:c r="J54" s="1"/>
      <x:c r="K54" s="1"/>
      <x:c r="L54" s="1"/>
      <x:c r="M54" s="1"/>
      <x:c r="N54" s="43"/>
    </x:row>
    <x:row r="55">
      <x:c r="A55" s="42"/>
      <x:c r="B55" s="25"/>
      <x:c r="C55" s="1"/>
      <x:c r="D55" s="1"/>
      <x:c r="E55" s="1"/>
      <x:c r="F55" s="1"/>
      <x:c r="G55" s="37"/>
      <x:c r="H55" s="1"/>
      <x:c r="I55" s="38"/>
      <x:c r="J55" s="1"/>
      <x:c r="K55" s="1"/>
      <x:c r="L55" s="1"/>
      <x:c r="M55" s="1"/>
      <x:c r="N55" s="43"/>
    </x:row>
    <x:row r="56">
      <x:c r="A56" s="42"/>
      <x:c r="B56" s="25"/>
      <x:c r="C56" s="1"/>
      <x:c r="D56" s="1"/>
      <x:c r="E56" s="1"/>
      <x:c r="F56" s="1"/>
      <x:c r="G56" s="37"/>
      <x:c r="H56" s="1"/>
      <x:c r="I56" s="38"/>
      <x:c r="J56" s="1"/>
      <x:c r="K56" s="1"/>
      <x:c r="L56" s="1"/>
      <x:c r="M56" s="1"/>
      <x:c r="N56" s="43"/>
    </x:row>
    <x:row r="57">
      <x:c r="A57" s="42"/>
      <x:c r="B57" s="25"/>
      <x:c r="C57" s="1"/>
      <x:c r="D57" s="1"/>
      <x:c r="E57" s="1"/>
      <x:c r="F57" s="1"/>
      <x:c r="G57" s="37"/>
      <x:c r="H57" s="1"/>
      <x:c r="I57" s="38"/>
      <x:c r="J57" s="1"/>
      <x:c r="K57" s="1"/>
      <x:c r="L57" s="1"/>
      <x:c r="M57" s="1"/>
      <x:c r="N57" s="43"/>
    </x:row>
    <x:row r="58">
      <x:c r="A58" s="42"/>
      <x:c r="B58" s="25"/>
      <x:c r="C58" s="1"/>
      <x:c r="D58" s="1"/>
      <x:c r="E58" s="1"/>
      <x:c r="F58" s="1"/>
      <x:c r="G58" s="37"/>
      <x:c r="H58" s="1"/>
      <x:c r="I58" s="38"/>
      <x:c r="J58" s="1"/>
      <x:c r="K58" s="1"/>
      <x:c r="L58" s="1"/>
      <x:c r="M58" s="1"/>
      <x:c r="N58" s="43"/>
    </x:row>
    <x:row r="59">
      <x:c r="A59" s="42"/>
      <x:c r="B59" s="25"/>
      <x:c r="C59" s="1"/>
      <x:c r="D59" s="1"/>
      <x:c r="E59" s="1"/>
      <x:c r="F59" s="1"/>
      <x:c r="G59" s="37"/>
      <x:c r="H59" s="1"/>
      <x:c r="I59" s="38"/>
      <x:c r="J59" s="1"/>
      <x:c r="K59" s="1"/>
      <x:c r="L59" s="1"/>
      <x:c r="M59" s="1"/>
      <x:c r="N59" s="43"/>
    </x:row>
    <x:row r="60">
      <x:c r="A60" s="42"/>
      <x:c r="B60" s="25"/>
      <x:c r="C60" s="1"/>
      <x:c r="D60" s="1"/>
      <x:c r="E60" s="1"/>
      <x:c r="F60" s="1"/>
      <x:c r="G60" s="37"/>
      <x:c r="H60" s="1"/>
      <x:c r="I60" s="38"/>
      <x:c r="J60" s="1"/>
      <x:c r="K60" s="1"/>
      <x:c r="L60" s="1"/>
      <x:c r="M60" s="1"/>
      <x:c r="N60" s="43"/>
    </x:row>
    <x:row r="61">
      <x:c r="A61" s="42"/>
      <x:c r="B61" s="25"/>
      <x:c r="C61" s="1"/>
      <x:c r="D61" s="1"/>
      <x:c r="E61" s="1"/>
      <x:c r="F61" s="1"/>
      <x:c r="G61" s="37"/>
      <x:c r="H61" s="1"/>
      <x:c r="I61" s="38"/>
      <x:c r="J61" s="1"/>
      <x:c r="K61" s="1"/>
      <x:c r="L61" s="1"/>
      <x:c r="M61" s="1"/>
      <x:c r="N61" s="43"/>
    </x:row>
    <x:row r="62" ht="28.5">
      <x:c r="A62" s="42"/>
      <x:c r="B62" s="25"/>
      <x:c r="C62" s="1"/>
      <x:c r="D62" s="1"/>
      <x:c r="E62" s="1"/>
      <x:c r="F62" s="1"/>
      <x:c r="G62" s="37"/>
      <x:c r="H62" s="1"/>
      <x:c r="I62" s="38"/>
      <x:c r="J62" s="1"/>
      <x:c r="K62" s="1"/>
      <x:c r="L62" s="1"/>
      <x:c r="M62" s="1"/>
      <x:c r="N62" s="43"/>
    </x:row>
    <x:row r="63">
      <x:c r="A63" s="42"/>
      <x:c r="B63" s="25"/>
      <x:c r="C63" s="1"/>
      <x:c r="D63" s="1"/>
      <x:c r="E63" s="1"/>
      <x:c r="F63" s="1"/>
      <x:c r="G63" s="37"/>
      <x:c r="H63" s="1"/>
      <x:c r="I63" s="38"/>
      <x:c r="J63" s="1"/>
      <x:c r="K63" s="1"/>
      <x:c r="L63" s="1"/>
      <x:c r="M63" s="1"/>
      <x:c r="N63" s="43"/>
    </x:row>
    <x:row r="64">
      <x:c r="A64" s="42"/>
      <x:c r="B64" s="25"/>
      <x:c r="C64" s="1"/>
      <x:c r="D64" s="1"/>
      <x:c r="E64" s="1"/>
      <x:c r="F64" s="1"/>
      <x:c r="G64" s="37"/>
      <x:c r="H64" s="1"/>
      <x:c r="I64" s="38"/>
      <x:c r="J64" s="1"/>
      <x:c r="K64" s="1"/>
      <x:c r="L64" s="1"/>
      <x:c r="M64" s="1"/>
      <x:c r="N64" s="43"/>
    </x:row>
    <x:row r="65">
      <x:c r="A65" s="42"/>
      <x:c r="B65" s="25"/>
      <x:c r="C65" s="1"/>
      <x:c r="D65" s="1"/>
      <x:c r="E65" s="1"/>
      <x:c r="F65" s="1"/>
      <x:c r="G65" s="37"/>
      <x:c r="H65" s="1"/>
      <x:c r="I65" s="38"/>
      <x:c r="J65" s="1"/>
      <x:c r="K65" s="1"/>
      <x:c r="L65" s="1"/>
      <x:c r="M65" s="1"/>
      <x:c r="N65" s="43"/>
    </x:row>
    <x:row r="66">
      <x:c r="A66" s="42"/>
      <x:c r="B66" s="25"/>
      <x:c r="C66" s="1"/>
      <x:c r="D66" s="1"/>
      <x:c r="E66" s="1"/>
      <x:c r="F66" s="1"/>
      <x:c r="G66" s="37"/>
      <x:c r="H66" s="1"/>
      <x:c r="I66" s="38"/>
      <x:c r="J66" s="1"/>
      <x:c r="K66" s="1"/>
      <x:c r="L66" s="1"/>
      <x:c r="M66" s="1"/>
      <x:c r="N66" s="43"/>
    </x:row>
    <x:row r="67" ht="28.5">
      <x:c r="A67" s="42"/>
      <x:c r="B67" s="25"/>
      <x:c r="C67" s="1"/>
      <x:c r="D67" s="1"/>
      <x:c r="E67" s="1"/>
      <x:c r="F67" s="1"/>
      <x:c r="G67" s="37"/>
      <x:c r="H67" s="1"/>
      <x:c r="I67" s="38"/>
      <x:c r="J67" s="1"/>
      <x:c r="K67" s="1"/>
      <x:c r="L67" s="1"/>
      <x:c r="M67" s="1"/>
      <x:c r="N67" s="43"/>
    </x:row>
    <x:row r="68">
      <x:c r="A68" s="42"/>
      <x:c r="B68" s="25"/>
      <x:c r="C68" s="1"/>
      <x:c r="D68" s="1"/>
      <x:c r="E68" s="1"/>
      <x:c r="F68" s="1"/>
      <x:c r="G68" s="37"/>
      <x:c r="H68" s="1"/>
      <x:c r="I68" s="38"/>
      <x:c r="J68" s="1"/>
      <x:c r="K68" s="1"/>
      <x:c r="L68" s="1"/>
      <x:c r="M68" s="1"/>
      <x:c r="N68" s="43"/>
    </x:row>
    <x:row r="69">
      <x:c r="A69" s="42"/>
      <x:c r="B69" s="25"/>
      <x:c r="C69" s="1"/>
      <x:c r="D69" s="1"/>
      <x:c r="E69" s="1"/>
      <x:c r="F69" s="1"/>
      <x:c r="G69" s="37"/>
      <x:c r="H69" s="1"/>
      <x:c r="I69" s="38"/>
      <x:c r="J69" s="1"/>
      <x:c r="K69" s="1"/>
      <x:c r="L69" s="1"/>
      <x:c r="M69" s="1"/>
      <x:c r="N69" s="43"/>
    </x:row>
    <x:row r="70">
      <x:c r="A70" s="42"/>
      <x:c r="B70" s="25"/>
      <x:c r="C70" s="1"/>
      <x:c r="D70" s="1"/>
      <x:c r="E70" s="1"/>
      <x:c r="F70" s="1"/>
      <x:c r="G70" s="37"/>
      <x:c r="H70" s="1"/>
      <x:c r="I70" s="38"/>
      <x:c r="J70" s="1"/>
      <x:c r="K70" s="1"/>
      <x:c r="L70" s="1"/>
      <x:c r="M70" s="1"/>
      <x:c r="N70" s="43"/>
    </x:row>
    <x:row r="71">
      <x:c r="A71" s="42"/>
      <x:c r="B71" s="25"/>
      <x:c r="C71" s="1"/>
      <x:c r="D71" s="1"/>
      <x:c r="E71" s="1"/>
      <x:c r="F71" s="1"/>
      <x:c r="G71" s="37"/>
      <x:c r="H71" s="1"/>
      <x:c r="I71" s="38"/>
      <x:c r="J71" s="1"/>
      <x:c r="K71" s="1"/>
      <x:c r="L71" s="1"/>
      <x:c r="M71" s="1"/>
      <x:c r="N71" s="43"/>
    </x:row>
    <x:row r="72">
      <x:c r="A72" s="42"/>
      <x:c r="B72" s="25"/>
      <x:c r="C72" s="1"/>
      <x:c r="D72" s="1"/>
      <x:c r="E72" s="1"/>
      <x:c r="F72" s="1"/>
      <x:c r="G72" s="37"/>
      <x:c r="H72" s="1"/>
      <x:c r="I72" s="38"/>
      <x:c r="J72" s="1"/>
      <x:c r="K72" s="1"/>
      <x:c r="L72" s="1"/>
      <x:c r="M72" s="1"/>
      <x:c r="N72" s="43"/>
    </x:row>
    <x:row r="73">
      <x:c r="A73" s="42"/>
      <x:c r="B73" s="25"/>
      <x:c r="C73" s="1"/>
      <x:c r="D73" s="1"/>
      <x:c r="E73" s="1"/>
      <x:c r="F73" s="1"/>
      <x:c r="G73" s="37"/>
      <x:c r="H73" s="1"/>
      <x:c r="I73" s="38"/>
      <x:c r="J73" s="1"/>
      <x:c r="K73" s="1"/>
      <x:c r="L73" s="1"/>
      <x:c r="M73" s="1"/>
      <x:c r="N73" s="43"/>
    </x:row>
    <x:row r="74">
      <x:c r="A74" s="42"/>
      <x:c r="B74" s="25"/>
      <x:c r="C74" s="1"/>
      <x:c r="D74" s="1"/>
      <x:c r="E74" s="1"/>
      <x:c r="F74" s="1"/>
      <x:c r="G74" s="37"/>
      <x:c r="H74" s="1"/>
      <x:c r="I74" s="38"/>
      <x:c r="J74" s="1"/>
      <x:c r="K74" s="1"/>
      <x:c r="L74" s="1"/>
      <x:c r="M74" s="1"/>
      <x:c r="N74" s="43"/>
    </x:row>
    <x:row r="75">
      <x:c r="A75" s="42"/>
      <x:c r="B75" s="25"/>
      <x:c r="C75" s="1"/>
      <x:c r="D75" s="1"/>
      <x:c r="E75" s="1"/>
      <x:c r="F75" s="1"/>
      <x:c r="G75" s="37"/>
      <x:c r="H75" s="1"/>
      <x:c r="I75" s="38"/>
      <x:c r="J75" s="1"/>
      <x:c r="K75" s="1"/>
      <x:c r="L75" s="1"/>
      <x:c r="M75" s="1"/>
      <x:c r="N75" s="43"/>
    </x:row>
    <x:row r="76" ht="28.5">
      <x:c r="A76" s="42"/>
      <x:c r="B76" s="25"/>
      <x:c r="C76" s="1"/>
      <x:c r="D76" s="1"/>
      <x:c r="E76" s="1"/>
      <x:c r="F76" s="1"/>
      <x:c r="G76" s="37"/>
      <x:c r="H76" s="1"/>
      <x:c r="I76" s="38"/>
      <x:c r="J76" s="1"/>
      <x:c r="K76" s="1"/>
      <x:c r="L76" s="1"/>
      <x:c r="M76" s="1"/>
      <x:c r="N76" s="43"/>
    </x:row>
    <x:row r="77" ht="28.5">
      <x:c r="A77" s="42"/>
      <x:c r="B77" s="25"/>
      <x:c r="C77" s="1"/>
      <x:c r="D77" s="1"/>
      <x:c r="E77" s="1"/>
      <x:c r="F77" s="1"/>
      <x:c r="G77" s="37"/>
      <x:c r="H77" s="1"/>
      <x:c r="I77" s="38"/>
      <x:c r="J77" s="1"/>
      <x:c r="K77" s="1"/>
      <x:c r="L77" s="1"/>
      <x:c r="M77" s="1"/>
      <x:c r="N77" s="43"/>
    </x:row>
    <x:row r="78" ht="28.5">
      <x:c r="A78" s="42"/>
      <x:c r="B78" s="25"/>
      <x:c r="C78" s="1"/>
      <x:c r="D78" s="1"/>
      <x:c r="E78" s="1"/>
      <x:c r="F78" s="1"/>
      <x:c r="G78" s="37"/>
      <x:c r="H78" s="1"/>
      <x:c r="I78" s="38"/>
      <x:c r="J78" s="1"/>
      <x:c r="K78" s="1"/>
      <x:c r="L78" s="1"/>
      <x:c r="M78" s="1"/>
      <x:c r="N78" s="43"/>
    </x:row>
    <x:row r="79">
      <x:c r="A79" s="42"/>
      <x:c r="B79" s="25"/>
      <x:c r="C79" s="1"/>
      <x:c r="D79" s="1"/>
      <x:c r="E79" s="1"/>
      <x:c r="F79" s="1"/>
      <x:c r="G79" s="37"/>
      <x:c r="H79" s="1"/>
      <x:c r="I79" s="38"/>
      <x:c r="J79" s="1"/>
      <x:c r="K79" s="1"/>
      <x:c r="L79" s="1"/>
      <x:c r="M79" s="1"/>
      <x:c r="N79" s="43"/>
    </x:row>
    <x:row r="80">
      <x:c r="A80" s="42"/>
      <x:c r="B80" s="25"/>
      <x:c r="C80" s="1"/>
      <x:c r="D80" s="1"/>
      <x:c r="E80" s="1"/>
      <x:c r="F80" s="1"/>
      <x:c r="G80" s="37"/>
      <x:c r="H80" s="1"/>
      <x:c r="I80" s="38"/>
      <x:c r="J80" s="1"/>
      <x:c r="K80" s="1"/>
      <x:c r="L80" s="1"/>
      <x:c r="M80" s="1"/>
      <x:c r="N80" s="43"/>
    </x:row>
    <x:row r="81">
      <x:c r="A81" s="42"/>
      <x:c r="B81" s="25"/>
      <x:c r="C81" s="1"/>
      <x:c r="D81" s="1"/>
      <x:c r="E81" s="1"/>
      <x:c r="F81" s="1"/>
      <x:c r="G81" s="37"/>
      <x:c r="H81" s="1"/>
      <x:c r="I81" s="38"/>
      <x:c r="J81" s="1"/>
      <x:c r="K81" s="1"/>
      <x:c r="L81" s="1"/>
      <x:c r="M81" s="1"/>
      <x:c r="N81" s="43"/>
    </x:row>
    <x:row r="82">
      <x:c r="A82" s="42"/>
      <x:c r="B82" s="25"/>
      <x:c r="C82" s="1"/>
      <x:c r="D82" s="1"/>
      <x:c r="E82" s="1"/>
      <x:c r="F82" s="1"/>
      <x:c r="G82" s="37"/>
      <x:c r="H82" s="1"/>
      <x:c r="I82" s="38"/>
      <x:c r="J82" s="1"/>
      <x:c r="K82" s="1"/>
      <x:c r="L82" s="1"/>
      <x:c r="M82" s="1"/>
      <x:c r="N82" s="43"/>
    </x:row>
    <x:row r="83">
      <x:c r="A83" s="42"/>
      <x:c r="B83" s="25"/>
      <x:c r="C83" s="1"/>
      <x:c r="D83" s="1"/>
      <x:c r="E83" s="1"/>
      <x:c r="F83" s="1"/>
      <x:c r="G83" s="37"/>
      <x:c r="H83" s="1"/>
      <x:c r="I83" s="38"/>
      <x:c r="J83" s="1"/>
      <x:c r="K83" s="1"/>
      <x:c r="L83" s="1"/>
      <x:c r="M83" s="1"/>
      <x:c r="N83" s="43"/>
    </x:row>
    <x:row r="84">
      <x:c r="A84" s="42"/>
      <x:c r="B84" s="25"/>
      <x:c r="C84" s="1"/>
      <x:c r="D84" s="1"/>
      <x:c r="E84" s="1"/>
      <x:c r="F84" s="1"/>
      <x:c r="G84" s="37"/>
      <x:c r="H84" s="1"/>
      <x:c r="I84" s="38"/>
      <x:c r="J84" s="1"/>
      <x:c r="K84" s="1"/>
      <x:c r="L84" s="1"/>
      <x:c r="M84" s="1"/>
      <x:c r="N84" s="43"/>
    </x:row>
    <x:row r="85" ht="28.5">
      <x:c r="A85" s="42"/>
      <x:c r="B85" s="25"/>
      <x:c r="C85" s="1"/>
      <x:c r="D85" s="1"/>
      <x:c r="E85" s="1"/>
      <x:c r="F85" s="1"/>
      <x:c r="G85" s="37"/>
      <x:c r="H85" s="1"/>
      <x:c r="I85" s="38"/>
      <x:c r="J85" s="1"/>
      <x:c r="K85" s="1"/>
      <x:c r="L85" s="1"/>
      <x:c r="M85" s="1"/>
      <x:c r="N85" s="43"/>
    </x:row>
    <x:row r="86">
      <x:c r="A86" s="42"/>
      <x:c r="B86" s="25"/>
      <x:c r="C86" s="1"/>
      <x:c r="D86" s="1"/>
      <x:c r="E86" s="1"/>
      <x:c r="F86" s="1"/>
      <x:c r="G86" s="37"/>
      <x:c r="H86" s="1"/>
      <x:c r="I86" s="38"/>
      <x:c r="J86" s="1"/>
      <x:c r="K86" s="1"/>
      <x:c r="L86" s="1"/>
      <x:c r="M86" s="1"/>
      <x:c r="N86" s="43"/>
    </x:row>
    <x:row r="87">
      <x:c r="A87" s="42"/>
      <x:c r="B87" s="25"/>
      <x:c r="C87" s="1"/>
      <x:c r="D87" s="1"/>
      <x:c r="E87" s="1"/>
      <x:c r="F87" s="1"/>
      <x:c r="G87" s="37"/>
      <x:c r="H87" s="1"/>
      <x:c r="I87" s="38"/>
      <x:c r="J87" s="1"/>
      <x:c r="K87" s="1"/>
      <x:c r="L87" s="1"/>
      <x:c r="M87" s="1"/>
      <x:c r="N87" s="43"/>
    </x:row>
    <x:row r="88">
      <x:c r="A88" s="44"/>
      <x:c r="B88" s="45"/>
      <x:c r="C88" s="46"/>
      <x:c r="D88" s="46"/>
      <x:c r="E88" s="46"/>
      <x:c r="F88" s="46"/>
      <x:c r="G88" s="47"/>
      <x:c r="H88" s="46"/>
      <x:c r="I88" s="48"/>
      <x:c r="J88" s="46"/>
      <x:c r="K88" s="46"/>
      <x:c r="L88" s="46"/>
      <x:c r="M88" s="46"/>
      <x:c r="N88" s="49"/>
    </x:row>
  </x:sheetData>
  <x:mergeCells>
    <x:mergeCell ref="A1:N1"/>
  </x:mergeCells>
  <x:conditionalFormatting sqref="H9:H88">
    <x:cfRule type="expression" dxfId="4" priority="1">
      <x:formula>H9="Concluído"</x:formula>
    </x:cfRule>
    <x:cfRule type="expression" dxfId="3" priority="2">
      <x:formula>H9="Em andamento"</x:formula>
    </x:cfRule>
    <x:cfRule type="expression" dxfId="2" priority="3">
      <x:formula>H9="Bloqueado"</x:formula>
    </x:cfRule>
  </x:conditionalFormatting>
  <x:conditionalFormatting sqref="I9:I88">
    <x:cfRule type="dataBar" priority="4">
      <x:dataBar>
        <x:cfvo type="min"/>
        <x:cfvo type="max"/>
        <x:color rgb="FF247BA0"/>
      </x:dataBar>
    </x:cfRule>
    <x:cfRule type="dataBar" priority="7">
      <x:dataBar>
        <x:cfvo type="min"/>
        <x:cfvo type="max"/>
        <x:color rgb="FF247BA0"/>
      </x:dataBar>
      <x:extLst>
        <x:ext xmlns:x14="http://schemas.microsoft.com/office/spreadsheetml/2009/9/main" uri="{B025F937-C7B1-47D3-B67F-A62EFF666E3E}">
          <x14:id>{C953956E-1808-0D86-BAC2-0228841CEF8B}</x14:id>
        </x:ext>
      </x:extLst>
    </x:cfRule>
  </x:conditionalFormatting>
  <x:conditionalFormatting sqref="N9:N88">
    <x:cfRule type="expression" dxfId="1" priority="5">
      <x:formula>N9="Acima do esperado"</x:formula>
    </x:cfRule>
    <x:cfRule type="expression" dxfId="0" priority="6">
      <x:formula>N9="Abaixo do esperado"</x:formula>
    </x:cfRule>
  </x:conditionalFormatting>
  <x:conditionalFormatting sqref="H9:H13">
    <x:cfRule type="expression" dxfId="12" priority="8">
      <x:formula>H9="Concluído"</x:formula>
    </x:cfRule>
    <x:cfRule type="expression" dxfId="13" priority="9">
      <x:formula>H9="Em andamento"</x:formula>
    </x:cfRule>
  </x:conditionalFormatting>
  <x:dataValidations count="2">
    <x:dataValidation type="list" sqref="H9:H88">
      <x:formula1>"Não iniciado,Em andamento,Concluído,Bloqueado,Replanejado"</x:formula1>
    </x:dataValidation>
    <x:dataValidation type="list" sqref="N9:N88">
      <x:formula1>"Pendente,Abaixo do esperado,Dentro do esperado,Acima do esperado"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a5f49957ee42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C953956E-1808-0D86-BAC2-0228841CEF8B}">
            <x14:dataBar>
              <x14:cfvo type="min"/>
              <x14:cfvo type="max"/>
              <x14:fillColor rgb="FF247BA0"/>
              <x14:negativeFillColor auto="1"/>
              <x14:axisColor auto="1"/>
            </x14:dataBar>
          </x14:cfRule>
          <xm:sqref>I9:I88</xm:sqref>
        </x14:conditionalFormatting>
      </x14:conditionalFormattings>
    </x:ext>
  </x:extLst>
</x:worksheet>
</file>