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s_\Desktop\AI - LAB\ai-supply-chain-copilot\"/>
    </mc:Choice>
  </mc:AlternateContent>
  <xr:revisionPtr revIDLastSave="0" documentId="13_ncr:1_{B96C510C-9CE4-46D5-B63A-00238E0F58D3}" xr6:coauthVersionLast="47" xr6:coauthVersionMax="47" xr10:uidLastSave="{00000000-0000-0000-0000-000000000000}"/>
  <bookViews>
    <workbookView xWindow="-120" yWindow="-120" windowWidth="20730" windowHeight="11160" tabRatio="842" activeTab="3" xr2:uid="{D801AA65-21DB-44EF-B6A5-05E67D49622A}"/>
  </bookViews>
  <sheets>
    <sheet name="inventory_analysis" sheetId="1" r:id="rId1"/>
    <sheet name="painel_prioridades_repor" sheetId="5" r:id="rId2"/>
    <sheet name="painel_prioridades_excesso" sheetId="6" r:id="rId3"/>
    <sheet name="dashboard_executivo" sheetId="7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<sst xmlns="http://schemas.openxmlformats.org/spreadsheetml/2006/main" count="1217" uniqueCount="284">
  <si>
    <t>sku</t>
  </si>
  <si>
    <t>produto</t>
  </si>
  <si>
    <t>categoria</t>
  </si>
  <si>
    <t>unidade_medida</t>
  </si>
  <si>
    <t>estoque_atual</t>
  </si>
  <si>
    <t>estoque_minimo</t>
  </si>
  <si>
    <t>estoque_maximo</t>
  </si>
  <si>
    <t>consumo_medio_mensal</t>
  </si>
  <si>
    <t>custo_unitario</t>
  </si>
  <si>
    <t>lead_time_dias</t>
  </si>
  <si>
    <t>fornecedor</t>
  </si>
  <si>
    <t>deposito</t>
  </si>
  <si>
    <t>classe_abc</t>
  </si>
  <si>
    <t>data_ultima_movimentacao</t>
  </si>
  <si>
    <t>valor_estoque</t>
  </si>
  <si>
    <t>cobertura_meses</t>
  </si>
  <si>
    <t>lead_time_meses</t>
  </si>
  <si>
    <t>risco_ruptura</t>
  </si>
  <si>
    <t>quantidade_repor</t>
  </si>
  <si>
    <t>valor_reposicao</t>
  </si>
  <si>
    <t>quantidade_excesso</t>
  </si>
  <si>
    <t>valor_excesso</t>
  </si>
  <si>
    <t>valor_acao</t>
  </si>
  <si>
    <t>score_financeiro</t>
  </si>
  <si>
    <t>score_classe_abc</t>
  </si>
  <si>
    <t>score_risco_ruptura</t>
  </si>
  <si>
    <t>score_lead_time</t>
  </si>
  <si>
    <t>score_prioridade</t>
  </si>
  <si>
    <t>acao_recomendada</t>
  </si>
  <si>
    <t>prioridade</t>
  </si>
  <si>
    <t>grupo_gerencial</t>
  </si>
  <si>
    <t>SKU-1001</t>
  </si>
  <si>
    <t>Rolamento rígido de esferas Modelo A-10</t>
  </si>
  <si>
    <t>Rolamentos</t>
  </si>
  <si>
    <t>UN</t>
  </si>
  <si>
    <t>Fornecedor Beta</t>
  </si>
  <si>
    <t>CD Santos</t>
  </si>
  <si>
    <t>C</t>
  </si>
  <si>
    <t>NÃO</t>
  </si>
  <si>
    <t>SEM AÇÃO</t>
  </si>
  <si>
    <t>6 - SEM AÇÃO</t>
  </si>
  <si>
    <t>SKU-1002</t>
  </si>
  <si>
    <t>Rolamento autocompensador Modelo B-20</t>
  </si>
  <si>
    <t>Eixo Forte</t>
  </si>
  <si>
    <t>A</t>
  </si>
  <si>
    <t>SKU-1003</t>
  </si>
  <si>
    <t>Rolamento de rolos cônicos Modelo C-30</t>
  </si>
  <si>
    <t>Brasil Industrial</t>
  </si>
  <si>
    <t>CD Campinas</t>
  </si>
  <si>
    <t>SKU-1004</t>
  </si>
  <si>
    <t>Mancal com rolamento Modelo D-40</t>
  </si>
  <si>
    <t>TRATAR EXCESSO</t>
  </si>
  <si>
    <t>MÉDIA</t>
  </si>
  <si>
    <t>3 - EXCESSO — MÉDIA PRIORIDADE</t>
  </si>
  <si>
    <t>SKU-1005</t>
  </si>
  <si>
    <t>Rolamento rígido de esferas Modelo E-50</t>
  </si>
  <si>
    <t>SKU-1006</t>
  </si>
  <si>
    <t>Rolamento autocompensador Modelo A-60</t>
  </si>
  <si>
    <t>Delta Manutenção</t>
  </si>
  <si>
    <t>CD Curitiba</t>
  </si>
  <si>
    <t>SKU-1007</t>
  </si>
  <si>
    <t>Rolamento de rolos cônicos Modelo B-70</t>
  </si>
  <si>
    <t>Fornecedor Gama</t>
  </si>
  <si>
    <t>B</t>
  </si>
  <si>
    <t>SKU-1008</t>
  </si>
  <si>
    <t>Mancal com rolamento Modelo C-80</t>
  </si>
  <si>
    <t>Fornecedor Alfa</t>
  </si>
  <si>
    <t>SKU-1009</t>
  </si>
  <si>
    <t>Rolamento rígido de esferas Modelo D-90</t>
  </si>
  <si>
    <t>REPOR</t>
  </si>
  <si>
    <t>2 - REPOSIÇÃO — MÉDIA PRIORIDADE</t>
  </si>
  <si>
    <t>SKU-1010</t>
  </si>
  <si>
    <t>Rolamento autocompensador Modelo E-100</t>
  </si>
  <si>
    <t>SKU-1011</t>
  </si>
  <si>
    <t>Parafuso sextavado Modelo A-10</t>
  </si>
  <si>
    <t>Fixadores</t>
  </si>
  <si>
    <t>BAIXA</t>
  </si>
  <si>
    <t>4 - REPOSIÇÃO — BAIXA PRIORIDADE</t>
  </si>
  <si>
    <t>SKU-1012</t>
  </si>
  <si>
    <t>Porca sextavada Modelo B-20</t>
  </si>
  <si>
    <t>SKU-1013</t>
  </si>
  <si>
    <t>Arruela lisa Modelo C-30</t>
  </si>
  <si>
    <t>SIM</t>
  </si>
  <si>
    <t>SKU-1014</t>
  </si>
  <si>
    <t>Parafuso Allen Modelo D-40</t>
  </si>
  <si>
    <t>Atlas Componentes</t>
  </si>
  <si>
    <t>SKU-1015</t>
  </si>
  <si>
    <t>Parafuso sextavado Modelo E-50</t>
  </si>
  <si>
    <t>SKU-1016</t>
  </si>
  <si>
    <t>Porca sextavada Modelo A-60</t>
  </si>
  <si>
    <t>SKU-1017</t>
  </si>
  <si>
    <t>Arruela lisa Modelo B-70</t>
  </si>
  <si>
    <t>SKU-1018</t>
  </si>
  <si>
    <t>Parafuso Allen Modelo C-80</t>
  </si>
  <si>
    <t>SKU-1019</t>
  </si>
  <si>
    <t>Parafuso sextavado Modelo D-90</t>
  </si>
  <si>
    <t>SKU-1020</t>
  </si>
  <si>
    <t>Porca sextavada Modelo E-100</t>
  </si>
  <si>
    <t>SKU-1021</t>
  </si>
  <si>
    <t>Contator tripolar Modelo A-10</t>
  </si>
  <si>
    <t>Elétrica</t>
  </si>
  <si>
    <t>SKU-1022</t>
  </si>
  <si>
    <t>Disjuntor industrial Modelo B-20</t>
  </si>
  <si>
    <t>SKU-1023</t>
  </si>
  <si>
    <t>Sensor indutivo Modelo C-30</t>
  </si>
  <si>
    <t>ALTA</t>
  </si>
  <si>
    <t>0 - REPOSIÇÃO — ALTA PRIORIDADE</t>
  </si>
  <si>
    <t>SKU-1024</t>
  </si>
  <si>
    <t>Cabo elétrico Modelo D-40</t>
  </si>
  <si>
    <t>M</t>
  </si>
  <si>
    <t>SKU-1025</t>
  </si>
  <si>
    <t>Contator tripolar Modelo E-50</t>
  </si>
  <si>
    <t>Conecta Suprimentos</t>
  </si>
  <si>
    <t>SKU-1026</t>
  </si>
  <si>
    <t>Disjuntor industrial Modelo A-60</t>
  </si>
  <si>
    <t>SKU-1027</t>
  </si>
  <si>
    <t>Sensor indutivo Modelo B-70</t>
  </si>
  <si>
    <t>SKU-1028</t>
  </si>
  <si>
    <t>Cabo elétrico Modelo C-80</t>
  </si>
  <si>
    <t>SKU-1029</t>
  </si>
  <si>
    <t>Contator tripolar Modelo D-90</t>
  </si>
  <si>
    <t>SKU-1030</t>
  </si>
  <si>
    <t>Disjuntor industrial Modelo E-100</t>
  </si>
  <si>
    <t>5 - EXCESSO — BAIXA PRIORIDADE</t>
  </si>
  <si>
    <t>SKU-1031</t>
  </si>
  <si>
    <t>Válvula pneumática Modelo A-10</t>
  </si>
  <si>
    <t>Pneumática</t>
  </si>
  <si>
    <t>SKU-1032</t>
  </si>
  <si>
    <t>Cilindro pneumático Modelo B-20</t>
  </si>
  <si>
    <t>SKU-1033</t>
  </si>
  <si>
    <t>Conexão pneumática Modelo C-30</t>
  </si>
  <si>
    <t>SKU-1034</t>
  </si>
  <si>
    <t>Mangueira pneumática Modelo D-40</t>
  </si>
  <si>
    <t>SKU-1035</t>
  </si>
  <si>
    <t>Válvula pneumática Modelo E-50</t>
  </si>
  <si>
    <t>SKU-1036</t>
  </si>
  <si>
    <t>Cilindro pneumático Modelo A-60</t>
  </si>
  <si>
    <t>SKU-1037</t>
  </si>
  <si>
    <t>Conexão pneumática Modelo B-70</t>
  </si>
  <si>
    <t>SKU-1038</t>
  </si>
  <si>
    <t>Mangueira pneumática Modelo C-80</t>
  </si>
  <si>
    <t>SKU-1039</t>
  </si>
  <si>
    <t>Válvula pneumática Modelo D-90</t>
  </si>
  <si>
    <t>SKU-1040</t>
  </si>
  <si>
    <t>Cilindro pneumático Modelo E-100</t>
  </si>
  <si>
    <t>SKU-1041</t>
  </si>
  <si>
    <t>Mangueira hidráulica Modelo A-10</t>
  </si>
  <si>
    <t>Hidráulica</t>
  </si>
  <si>
    <t>SKU-1042</t>
  </si>
  <si>
    <t>Conexão hidráulica Modelo B-20</t>
  </si>
  <si>
    <t>SKU-1043</t>
  </si>
  <si>
    <t>Válvula hidráulica Modelo C-30</t>
  </si>
  <si>
    <t>SKU-1044</t>
  </si>
  <si>
    <t>Bomba hidráulica Modelo D-40</t>
  </si>
  <si>
    <t>SKU-1045</t>
  </si>
  <si>
    <t>Mangueira hidráulica Modelo E-50</t>
  </si>
  <si>
    <t>SKU-1046</t>
  </si>
  <si>
    <t>Conexão hidráulica Modelo A-60</t>
  </si>
  <si>
    <t>SKU-1047</t>
  </si>
  <si>
    <t>Válvula hidráulica Modelo B-70</t>
  </si>
  <si>
    <t>SKU-1048</t>
  </si>
  <si>
    <t>Bomba hidráulica Modelo C-80</t>
  </si>
  <si>
    <t>SKU-1049</t>
  </si>
  <si>
    <t>Mangueira hidráulica Modelo D-90</t>
  </si>
  <si>
    <t>SKU-1050</t>
  </si>
  <si>
    <t>Conexão hidráulica Modelo E-100</t>
  </si>
  <si>
    <t>SKU-1051</t>
  </si>
  <si>
    <t>Motor elétrico trifásico Modelo A-10</t>
  </si>
  <si>
    <t>Motores</t>
  </si>
  <si>
    <t>SKU-1052</t>
  </si>
  <si>
    <t>Motoredutor Modelo B-20</t>
  </si>
  <si>
    <t>SKU-1053</t>
  </si>
  <si>
    <t>Inversor de frequência Modelo C-30</t>
  </si>
  <si>
    <t>SKU-1054</t>
  </si>
  <si>
    <t>Acoplamento elástico Modelo D-40</t>
  </si>
  <si>
    <t>SKU-1055</t>
  </si>
  <si>
    <t>Motor elétrico trifásico Modelo E-50</t>
  </si>
  <si>
    <t>SKU-1056</t>
  </si>
  <si>
    <t>Motoredutor Modelo A-60</t>
  </si>
  <si>
    <t>SKU-1057</t>
  </si>
  <si>
    <t>Inversor de frequência Modelo B-70</t>
  </si>
  <si>
    <t>SKU-1058</t>
  </si>
  <si>
    <t>Acoplamento elástico Modelo C-80</t>
  </si>
  <si>
    <t>SKU-1059</t>
  </si>
  <si>
    <t>Motor elétrico trifásico Modelo D-90</t>
  </si>
  <si>
    <t>SKU-1060</t>
  </si>
  <si>
    <t>Motoredutor Modelo E-100</t>
  </si>
  <si>
    <t>SKU-1061</t>
  </si>
  <si>
    <t>Óleo hidráulico Modelo A-10</t>
  </si>
  <si>
    <t>Lubrificantes</t>
  </si>
  <si>
    <t>L</t>
  </si>
  <si>
    <t>SKU-1062</t>
  </si>
  <si>
    <t>Graxa industrial Modelo B-20</t>
  </si>
  <si>
    <t>KG</t>
  </si>
  <si>
    <t>SKU-1063</t>
  </si>
  <si>
    <t>Óleo para engrenagens Modelo C-30</t>
  </si>
  <si>
    <t>SKU-1064</t>
  </si>
  <si>
    <t>Desengripante industrial Modelo D-40</t>
  </si>
  <si>
    <t>SKU-1065</t>
  </si>
  <si>
    <t>Óleo hidráulico Modelo E-50</t>
  </si>
  <si>
    <t>SKU-1066</t>
  </si>
  <si>
    <t>Graxa industrial Modelo A-60</t>
  </si>
  <si>
    <t>SKU-1067</t>
  </si>
  <si>
    <t>Óleo para engrenagens Modelo B-70</t>
  </si>
  <si>
    <t>SKU-1068</t>
  </si>
  <si>
    <t>Desengripante industrial Modelo C-80</t>
  </si>
  <si>
    <t>SKU-1069</t>
  </si>
  <si>
    <t>Óleo hidráulico Modelo D-90</t>
  </si>
  <si>
    <t>SKU-1070</t>
  </si>
  <si>
    <t>Graxa industrial Modelo E-100</t>
  </si>
  <si>
    <t>SKU-1071</t>
  </si>
  <si>
    <t>Luva de proteção Modelo A-10</t>
  </si>
  <si>
    <t>EPI</t>
  </si>
  <si>
    <t>PAR</t>
  </si>
  <si>
    <t>SKU-1072</t>
  </si>
  <si>
    <t>Óculos de segurança Modelo B-20</t>
  </si>
  <si>
    <t>SKU-1073</t>
  </si>
  <si>
    <t>Protetor auricular Modelo C-30</t>
  </si>
  <si>
    <t>SKU-1074</t>
  </si>
  <si>
    <t>Capacete de segurança Modelo D-40</t>
  </si>
  <si>
    <t>SKU-1075</t>
  </si>
  <si>
    <t>Luva de proteção Modelo E-50</t>
  </si>
  <si>
    <t>SKU-1076</t>
  </si>
  <si>
    <t>Óculos de segurança Modelo A-60</t>
  </si>
  <si>
    <t>SKU-1077</t>
  </si>
  <si>
    <t>Protetor auricular Modelo B-70</t>
  </si>
  <si>
    <t>SKU-1078</t>
  </si>
  <si>
    <t>Capacete de segurança Modelo C-80</t>
  </si>
  <si>
    <t>SKU-1079</t>
  </si>
  <si>
    <t>Luva de proteção Modelo D-90</t>
  </si>
  <si>
    <t>SKU-1080</t>
  </si>
  <si>
    <t>Óculos de segurança Modelo E-100</t>
  </si>
  <si>
    <t>1 - EXCESSO — ALTA PRIORIDADE</t>
  </si>
  <si>
    <t>SKU-1081</t>
  </si>
  <si>
    <t>Broca de aço rápido Modelo A-10</t>
  </si>
  <si>
    <t>Ferramentas</t>
  </si>
  <si>
    <t>SKU-1082</t>
  </si>
  <si>
    <t>Disco de corte Modelo B-20</t>
  </si>
  <si>
    <t>SKU-1083</t>
  </si>
  <si>
    <t>Chave combinada Modelo C-30</t>
  </si>
  <si>
    <t>SKU-1084</t>
  </si>
  <si>
    <t>Alicate universal Modelo D-40</t>
  </si>
  <si>
    <t>SKU-1085</t>
  </si>
  <si>
    <t>Broca de aço rápido Modelo E-50</t>
  </si>
  <si>
    <t>SKU-1086</t>
  </si>
  <si>
    <t>Disco de corte Modelo A-60</t>
  </si>
  <si>
    <t>SKU-1087</t>
  </si>
  <si>
    <t>Chave combinada Modelo B-70</t>
  </si>
  <si>
    <t>SKU-1088</t>
  </si>
  <si>
    <t>Alicate universal Modelo C-80</t>
  </si>
  <si>
    <t>SKU-1089</t>
  </si>
  <si>
    <t>Broca de aço rápido Modelo D-90</t>
  </si>
  <si>
    <t>SKU-1090</t>
  </si>
  <si>
    <t>Disco de corte Modelo E-100</t>
  </si>
  <si>
    <t>SKU-1091</t>
  </si>
  <si>
    <t>Caixa de papelão Modelo A-10</t>
  </si>
  <si>
    <t>Embalagens</t>
  </si>
  <si>
    <t>SKU-1092</t>
  </si>
  <si>
    <t>Filme stretch Modelo B-20</t>
  </si>
  <si>
    <t>SKU-1093</t>
  </si>
  <si>
    <t>Fita adesiva Modelo C-30</t>
  </si>
  <si>
    <t>SKU-1094</t>
  </si>
  <si>
    <t>Pallet plástico Modelo D-40</t>
  </si>
  <si>
    <t>SKU-1095</t>
  </si>
  <si>
    <t>Caixa de papelão Modelo E-50</t>
  </si>
  <si>
    <t>SKU-1096</t>
  </si>
  <si>
    <t>Filme stretch Modelo A-60</t>
  </si>
  <si>
    <t>SKU-1097</t>
  </si>
  <si>
    <t>Fita adesiva Modelo B-70</t>
  </si>
  <si>
    <t>SKU-1098</t>
  </si>
  <si>
    <t>Pallet plástico Modelo C-80</t>
  </si>
  <si>
    <t>SKU-1099</t>
  </si>
  <si>
    <t>Caixa de papelão Modelo D-90</t>
  </si>
  <si>
    <t>SKU-1100</t>
  </si>
  <si>
    <t>Filme stretch Modelo E-100</t>
  </si>
  <si>
    <t>Rótulos de Linha</t>
  </si>
  <si>
    <t>Total Geral</t>
  </si>
  <si>
    <t>Soma de valor_estoque</t>
  </si>
  <si>
    <t>Soma de valor_excesso</t>
  </si>
  <si>
    <t>Soma de quantidade_excesso</t>
  </si>
  <si>
    <t>Soma de valor_reposicao</t>
  </si>
  <si>
    <t>Soma de quantidade_repor</t>
  </si>
  <si>
    <t>(Vários itens)</t>
  </si>
  <si>
    <t>colocar data da geração do relatório - incluir no código 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</si>
</sst>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[indicadores_r1.xlsx]dashboard_executivo!Tabela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Supply Chain Copilot</a:t>
            </a:r>
          </a:p>
          <a:p>
            <a:pPr>
              <a:defRPr/>
            </a:pPr>
            <a:endParaRPr lang="en-US"/>
          </a:p>
          <a:p>
            <a:pPr>
              <a:defRPr/>
            </a:pPr>
            <a:r>
              <a:rPr lang="en-US"/>
              <a:t>Dashboard Executivo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dashboard_executivo!$B$3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dashboard_executivo!$A$4:$A$14</c:f>
              <c:strCache>
                <c:ptCount val="10"/>
                <c:pt idx="0">
                  <c:v>Rolamentos</c:v>
                </c:pt>
                <c:pt idx="1">
                  <c:v>EPI</c:v>
                </c:pt>
                <c:pt idx="2">
                  <c:v>Motores</c:v>
                </c:pt>
                <c:pt idx="3">
                  <c:v>Fixadores</c:v>
                </c:pt>
                <c:pt idx="4">
                  <c:v>Ferramentas</c:v>
                </c:pt>
                <c:pt idx="5">
                  <c:v>Embalagens</c:v>
                </c:pt>
                <c:pt idx="6">
                  <c:v>Hidráulica</c:v>
                </c:pt>
                <c:pt idx="7">
                  <c:v>Lubrificantes</c:v>
                </c:pt>
                <c:pt idx="8">
                  <c:v>Pneumática</c:v>
                </c:pt>
                <c:pt idx="9">
                  <c:v>Elétrica</c:v>
                </c:pt>
              </c:strCache>
            </c:strRef>
          </c:cat>
          <c:val>
            <c:numRef>
              <c:f>dashboard_executivo!$B$4:$B$14</c:f>
              <c:numCache>
                <c:formatCode>"R$"\ #,##0</c:formatCode>
                <c:ptCount val="10"/>
                <c:pt idx="0">
                  <c:v>490641.41000000003</c:v>
                </c:pt>
                <c:pt idx="1">
                  <c:v>392331.18999999878</c:v>
                </c:pt>
                <c:pt idx="2">
                  <c:v>289919.67999999993</c:v>
                </c:pt>
                <c:pt idx="3">
                  <c:v>228304.18</c:v>
                </c:pt>
                <c:pt idx="4">
                  <c:v>216086.69999999992</c:v>
                </c:pt>
                <c:pt idx="5">
                  <c:v>199229.99999999988</c:v>
                </c:pt>
                <c:pt idx="6">
                  <c:v>164807.5199999999</c:v>
                </c:pt>
                <c:pt idx="7">
                  <c:v>146188.5</c:v>
                </c:pt>
                <c:pt idx="8">
                  <c:v>138934.26999999999</c:v>
                </c:pt>
                <c:pt idx="9">
                  <c:v>99647.2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C-4617-8394-C022B663F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411712"/>
        <c:axId val="391397792"/>
      </c:barChart>
      <c:catAx>
        <c:axId val="39141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1397792"/>
        <c:crosses val="autoZero"/>
        <c:auto val="1"/>
        <c:lblAlgn val="ctr"/>
        <c:lblOffset val="100"/>
        <c:noMultiLvlLbl val="0"/>
      </c:catAx>
      <c:valAx>
        <c:axId val="391397792"/>
        <c:scaling>
          <c:orientation val="minMax"/>
        </c:scaling>
        <c:delete val="0"/>
        <c:axPos val="l"/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141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114299</xdr:colOff>
      <xdr:row>0</xdr:row>
      <xdr:rowOff>66675</xdr:rowOff>
    </xdr:from>
    <xdr:to>
      <xdr:col>18</xdr:col>
      <xdr:colOff>85724</xdr:colOff>
      <xdr:row>17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4AAC74-40FE-3518-A0E1-FD47A75A6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oares dos Santos" refreshedDate="46236.737543634263" createdVersion="8" refreshedVersion="8" minRefreshableVersion="3" recordCount="101" xr:uid="{02BE78B7-BC2C-4897-B8FD-5F9896E9855D}">
  <cacheSource type="worksheet">
    <worksheetSource ref="A1:AE1048576" sheet="inventory_analysis"/>
  </cacheSource>
  <cacheFields count="31">
    <cacheField name="sku" numFmtId="0">
      <sharedItems containsBlank="1"/>
    </cacheField>
    <cacheField name="produto" numFmtId="0">
      <sharedItems containsBlank="1" count="101">
        <s v="Rolamento rígido de esferas Modelo A-10"/>
        <s v="Rolamento autocompensador Modelo B-20"/>
        <s v="Rolamento de rolos cônicos Modelo C-30"/>
        <s v="Mancal com rolamento Modelo D-40"/>
        <s v="Rolamento rígido de esferas Modelo E-50"/>
        <s v="Rolamento autocompensador Modelo A-60"/>
        <s v="Rolamento de rolos cônicos Modelo B-70"/>
        <s v="Mancal com rolamento Modelo C-80"/>
        <s v="Rolamento rígido de esferas Modelo D-90"/>
        <s v="Rolamento autocompensador Modelo E-100"/>
        <s v="Parafuso sextavado Modelo A-10"/>
        <s v="Porca sextavada Modelo B-20"/>
        <s v="Arruela lisa Modelo C-30"/>
        <s v="Parafuso Allen Modelo D-40"/>
        <s v="Parafuso sextavado Modelo E-50"/>
        <s v="Porca sextavada Modelo A-60"/>
        <s v="Arruela lisa Modelo B-70"/>
        <s v="Parafuso Allen Modelo C-80"/>
        <s v="Parafuso sextavado Modelo D-90"/>
        <s v="Porca sextavada Modelo E-100"/>
        <s v="Contator tripolar Modelo A-10"/>
        <s v="Disjuntor industrial Modelo B-20"/>
        <s v="Sensor indutivo Modelo C-30"/>
        <s v="Cabo elétrico Modelo D-40"/>
        <s v="Contator tripolar Modelo E-50"/>
        <s v="Disjuntor industrial Modelo A-60"/>
        <s v="Sensor indutivo Modelo B-70"/>
        <s v="Cabo elétrico Modelo C-80"/>
        <s v="Contator tripolar Modelo D-90"/>
        <s v="Disjuntor industrial Modelo E-100"/>
        <s v="Válvula pneumática Modelo A-10"/>
        <s v="Cilindro pneumático Modelo B-20"/>
        <s v="Conexão pneumática Modelo C-30"/>
        <s v="Mangueira pneumática Modelo D-40"/>
        <s v="Válvula pneumática Modelo E-50"/>
        <s v="Cilindro pneumático Modelo A-60"/>
        <s v="Conexão pneumática Modelo B-70"/>
        <s v="Mangueira pneumática Modelo C-80"/>
        <s v="Válvula pneumática Modelo D-90"/>
        <s v="Cilindro pneumático Modelo E-100"/>
        <s v="Mangueira hidráulica Modelo A-10"/>
        <s v="Conexão hidráulica Modelo B-20"/>
        <s v="Válvula hidráulica Modelo C-30"/>
        <s v="Bomba hidráulica Modelo D-40"/>
        <s v="Mangueira hidráulica Modelo E-50"/>
        <s v="Conexão hidráulica Modelo A-60"/>
        <s v="Válvula hidráulica Modelo B-70"/>
        <s v="Bomba hidráulica Modelo C-80"/>
        <s v="Mangueira hidráulica Modelo D-90"/>
        <s v="Conexão hidráulica Modelo E-100"/>
        <s v="Motor elétrico trifásico Modelo A-10"/>
        <s v="Motoredutor Modelo B-20"/>
        <s v="Inversor de frequência Modelo C-30"/>
        <s v="Acoplamento elástico Modelo D-40"/>
        <s v="Motor elétrico trifásico Modelo E-50"/>
        <s v="Motoredutor Modelo A-60"/>
        <s v="Inversor de frequência Modelo B-70"/>
        <s v="Acoplamento elástico Modelo C-80"/>
        <s v="Motor elétrico trifásico Modelo D-90"/>
        <s v="Motoredutor Modelo E-100"/>
        <s v="Óleo hidráulico Modelo A-10"/>
        <s v="Graxa industrial Modelo B-20"/>
        <s v="Óleo para engrenagens Modelo C-30"/>
        <s v="Desengripante industrial Modelo D-40"/>
        <s v="Óleo hidráulico Modelo E-50"/>
        <s v="Graxa industrial Modelo A-60"/>
        <s v="Óleo para engrenagens Modelo B-70"/>
        <s v="Desengripante industrial Modelo C-80"/>
        <s v="Óleo hidráulico Modelo D-90"/>
        <s v="Graxa industrial Modelo E-100"/>
        <s v="Luva de proteção Modelo A-10"/>
        <s v="Óculos de segurança Modelo B-20"/>
        <s v="Protetor auricular Modelo C-30"/>
        <s v="Capacete de segurança Modelo D-40"/>
        <s v="Luva de proteção Modelo E-50"/>
        <s v="Óculos de segurança Modelo A-60"/>
        <s v="Protetor auricular Modelo B-70"/>
        <s v="Capacete de segurança Modelo C-80"/>
        <s v="Luva de proteção Modelo D-90"/>
        <s v="Óculos de segurança Modelo E-100"/>
        <s v="Broca de aço rápido Modelo A-10"/>
        <s v="Disco de corte Modelo B-20"/>
        <s v="Chave combinada Modelo C-30"/>
        <s v="Alicate universal Modelo D-40"/>
        <s v="Broca de aço rápido Modelo E-50"/>
        <s v="Disco de corte Modelo A-60"/>
        <s v="Chave combinada Modelo B-70"/>
        <s v="Alicate universal Modelo C-80"/>
        <s v="Broca de aço rápido Modelo D-90"/>
        <s v="Disco de corte Modelo E-100"/>
        <s v="Caixa de papelão Modelo A-10"/>
        <s v="Filme stretch Modelo B-20"/>
        <s v="Fita adesiva Modelo C-30"/>
        <s v="Pallet plástico Modelo D-40"/>
        <s v="Caixa de papelão Modelo E-50"/>
        <s v="Filme stretch Modelo A-60"/>
        <s v="Fita adesiva Modelo B-70"/>
        <s v="Pallet plástico Modelo C-80"/>
        <s v="Caixa de papelão Modelo D-90"/>
        <s v="Filme stretch Modelo E-100"/>
        <m/>
      </sharedItems>
    </cacheField>
    <cacheField name="categoria" numFmtId="0">
      <sharedItems containsBlank="1" count="11">
        <s v="Rolamentos"/>
        <s v="Fixadores"/>
        <s v="Elétrica"/>
        <s v="Pneumática"/>
        <s v="Hidráulica"/>
        <s v="Motores"/>
        <s v="Lubrificantes"/>
        <s v="EPI"/>
        <s v="Ferramentas"/>
        <s v="Embalagens"/>
        <m/>
      </sharedItems>
    </cacheField>
    <cacheField name="unidade_medida" numFmtId="0">
      <sharedItems containsBlank="1"/>
    </cacheField>
    <cacheField name="estoque_atual" numFmtId="0">
      <sharedItems containsString="0" containsBlank="1" containsNumber="1" containsInteger="1" minValue="0" maxValue="914"/>
    </cacheField>
    <cacheField name="estoque_minimo" numFmtId="0">
      <sharedItems containsString="0" containsBlank="1" containsNumber="1" containsInteger="1" minValue="6" maxValue="150"/>
    </cacheField>
    <cacheField name="estoque_maximo" numFmtId="0">
      <sharedItems containsString="0" containsBlank="1" containsNumber="1" containsInteger="1" minValue="39" maxValue="565"/>
    </cacheField>
    <cacheField name="consumo_medio_mensal" numFmtId="0">
      <sharedItems containsString="0" containsBlank="1" containsNumber="1" containsInteger="1" minValue="3" maxValue="596"/>
    </cacheField>
    <cacheField name="custo_unitario" numFmtId="0">
      <sharedItems containsString="0" containsBlank="1" containsNumber="1" minValue="2.04" maxValue="2411.11"/>
    </cacheField>
    <cacheField name="lead_time_dias" numFmtId="0">
      <sharedItems containsString="0" containsBlank="1" containsNumber="1" containsInteger="1" minValue="3" maxValue="45"/>
    </cacheField>
    <cacheField name="fornecedor" numFmtId="0">
      <sharedItems containsBlank="1"/>
    </cacheField>
    <cacheField name="deposito" numFmtId="0">
      <sharedItems containsBlank="1"/>
    </cacheField>
    <cacheField name="classe_abc" numFmtId="0">
      <sharedItems containsBlank="1"/>
    </cacheField>
    <cacheField name="data_ultima_movimentacao" numFmtId="0">
      <sharedItems containsNonDate="0" containsDate="1" containsString="0" containsBlank="1" minDate="2025-11-30T00:00:00" maxDate="2026-07-26T00:00:00"/>
    </cacheField>
    <cacheField name="valor_estoque" numFmtId="0">
      <sharedItems containsString="0" containsBlank="1" containsNumber="1" minValue="0" maxValue="286922.09000000003"/>
    </cacheField>
    <cacheField name="cobertura_meses" numFmtId="0">
      <sharedItems containsString="0" containsBlank="1" containsNumber="1" minValue="0" maxValue="5.85" count="84">
        <n v="4.7699999999999996"/>
        <n v="2.5299999999999998"/>
        <n v="1.39"/>
        <n v="2.38"/>
        <n v="5.76"/>
        <n v="2.72"/>
        <n v="2.13"/>
        <n v="3.67"/>
        <n v="1.68"/>
        <n v="2.75"/>
        <n v="2.3199999999999998"/>
        <n v="1.81"/>
        <n v="0"/>
        <n v="1.43"/>
        <n v="1.48"/>
        <n v="4.04"/>
        <n v="5.25"/>
        <n v="2.0699999999999998"/>
        <n v="1.52"/>
        <n v="2.25"/>
        <n v="1.31"/>
        <n v="0.03"/>
        <n v="1.36"/>
        <n v="4.1100000000000003"/>
        <n v="1.97"/>
        <n v="2.0499999999999998"/>
        <n v="1.34"/>
        <n v="2.44"/>
        <n v="3.24"/>
        <n v="2.23"/>
        <n v="1.89"/>
        <n v="2.12"/>
        <n v="0.67"/>
        <n v="3.64"/>
        <n v="1.79"/>
        <n v="1.83"/>
        <n v="1.42"/>
        <n v="1.73"/>
        <n v="1.96"/>
        <n v="2.1800000000000002"/>
        <n v="1.33"/>
        <n v="1.86"/>
        <n v="3.35"/>
        <n v="1.64"/>
        <n v="5.21"/>
        <n v="2.57"/>
        <n v="2.64"/>
        <n v="1.59"/>
        <n v="2.5"/>
        <n v="5.85"/>
        <n v="0.74"/>
        <n v="1.37"/>
        <n v="5.14"/>
        <n v="1.84"/>
        <n v="1.67"/>
        <n v="3.15"/>
        <n v="1.78"/>
        <n v="2.33"/>
        <n v="0.62"/>
        <n v="0.18"/>
        <n v="4.4000000000000004"/>
        <n v="2.65"/>
        <n v="1.91"/>
        <n v="1.99"/>
        <n v="0.3"/>
        <n v="0.88"/>
        <n v="3.75"/>
        <n v="1.74"/>
        <n v="2.2400000000000002"/>
        <n v="3.84"/>
        <n v="3.22"/>
        <n v="1.49"/>
        <n v="2.62"/>
        <n v="4.8099999999999996"/>
        <n v="2.84"/>
        <n v="1.66"/>
        <n v="1.65"/>
        <n v="2.52"/>
        <n v="1.92"/>
        <n v="1.45"/>
        <n v="3.04"/>
        <n v="1.63"/>
        <n v="1.53"/>
        <m/>
      </sharedItems>
    </cacheField>
    <cacheField name="lead_time_meses" numFmtId="0">
      <sharedItems containsString="0" containsBlank="1" containsNumber="1" minValue="0.1" maxValue="1.5"/>
    </cacheField>
    <cacheField name="risco_ruptura" numFmtId="0">
      <sharedItems containsBlank="1"/>
    </cacheField>
    <cacheField name="quantidade_repor" numFmtId="0">
      <sharedItems containsString="0" containsBlank="1" containsNumber="1" containsInteger="1" minValue="0" maxValue="106"/>
    </cacheField>
    <cacheField name="valor_reposicao" numFmtId="0">
      <sharedItems containsString="0" containsBlank="1" containsNumber="1" minValue="0" maxValue="16179.84"/>
    </cacheField>
    <cacheField name="quantidade_excesso" numFmtId="0">
      <sharedItems containsString="0" containsBlank="1" containsNumber="1" containsInteger="1" minValue="0" maxValue="349"/>
    </cacheField>
    <cacheField name="valor_excesso" numFmtId="0">
      <sharedItems containsString="0" containsBlank="1" containsNumber="1" minValue="0" maxValue="113322.17" count="28">
        <n v="0"/>
        <n v="113322.17"/>
        <n v="27826.48"/>
        <n v="8236.16"/>
        <n v="992.25"/>
        <n v="2003.04"/>
        <n v="9068.7999999999993"/>
        <n v="3107.67"/>
        <n v="7903.2"/>
        <n v="24052"/>
        <n v="6228"/>
        <n v="19086.66"/>
        <n v="3646.02"/>
        <n v="8354.82"/>
        <n v="4731.2999999999902"/>
        <n v="1584"/>
        <n v="394.2"/>
        <n v="31787.64"/>
        <n v="52283.7599999999"/>
        <n v="8919.06"/>
        <n v="5285.2"/>
        <n v="7477.4"/>
        <n v="6095.2199999999903"/>
        <n v="11880.96"/>
        <n v="4323.8999999999996"/>
        <n v="10362.029999999901"/>
        <n v="19767.36"/>
        <m/>
      </sharedItems>
    </cacheField>
    <cacheField name="valor_acao" numFmtId="0">
      <sharedItems containsString="0" containsBlank="1" containsNumber="1" minValue="0" maxValue="113322.17"/>
    </cacheField>
    <cacheField name="score_financeiro" numFmtId="0">
      <sharedItems containsString="0" containsBlank="1" containsNumber="1" containsInteger="1" minValue="0" maxValue="40"/>
    </cacheField>
    <cacheField name="score_classe_abc" numFmtId="0">
      <sharedItems containsString="0" containsBlank="1" containsNumber="1" containsInteger="1" minValue="5" maxValue="25"/>
    </cacheField>
    <cacheField name="score_risco_ruptura" numFmtId="0">
      <sharedItems containsString="0" containsBlank="1" containsNumber="1" containsInteger="1" minValue="0" maxValue="25"/>
    </cacheField>
    <cacheField name="score_lead_time" numFmtId="0">
      <sharedItems containsString="0" containsBlank="1" containsNumber="1" containsInteger="1" minValue="0" maxValue="10"/>
    </cacheField>
    <cacheField name="score_prioridade" numFmtId="0">
      <sharedItems containsString="0" containsBlank="1" containsNumber="1" containsInteger="1" minValue="5" maxValue="90"/>
    </cacheField>
    <cacheField name="acao_recomendada" numFmtId="0">
      <sharedItems containsBlank="1" count="4">
        <s v="SEM AÇÃO"/>
        <s v="TRATAR EXCESSO"/>
        <s v="REPOR"/>
        <m/>
      </sharedItems>
    </cacheField>
    <cacheField name="prioridade" numFmtId="0">
      <sharedItems containsBlank="1" count="5">
        <s v="SEM AÇÃO"/>
        <s v="MÉDIA"/>
        <s v="BAIXA"/>
        <s v="ALTA"/>
        <m/>
      </sharedItems>
    </cacheField>
    <cacheField name="grupo_gerencial" numFmtId="0">
      <sharedItems containsBlank="1" count="8">
        <s v="6 - SEM AÇÃO"/>
        <s v="3 - EXCESSO — MÉDIA PRIORIDADE"/>
        <s v="2 - REPOSIÇÃO — MÉDIA PRIORIDADE"/>
        <s v="4 - REPOSIÇÃO — BAIXA PRIORIDADE"/>
        <s v="0 - REPOSIÇÃO — ALTA PRIORIDADE"/>
        <s v="5 - EXCESSO — BAIXA PRIORIDADE"/>
        <s v="1 - EXCESSO — ALTA PRIORIDAD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SKU-1001"/>
    <x v="0"/>
    <x v="0"/>
    <s v="UN"/>
    <n v="253"/>
    <n v="65"/>
    <n v="270"/>
    <n v="53"/>
    <n v="4.2"/>
    <n v="5"/>
    <s v="Fornecedor Beta"/>
    <s v="CD Santos"/>
    <s v="C"/>
    <d v="2026-02-27T00:00:00"/>
    <n v="1062.5999999999999"/>
    <x v="0"/>
    <n v="0.17"/>
    <s v="NÃO"/>
    <n v="0"/>
    <n v="0"/>
    <n v="0"/>
    <x v="0"/>
    <n v="0"/>
    <n v="0"/>
    <n v="5"/>
    <n v="0"/>
    <n v="0"/>
    <n v="5"/>
    <x v="0"/>
    <x v="0"/>
    <x v="0"/>
  </r>
  <r>
    <s v="SKU-1002"/>
    <x v="1"/>
    <x v="0"/>
    <s v="UN"/>
    <n v="38"/>
    <n v="21"/>
    <n v="39"/>
    <n v="15"/>
    <n v="807.53"/>
    <n v="45"/>
    <s v="Eixo Forte"/>
    <s v="CD Santos"/>
    <s v="A"/>
    <d v="2026-02-28T00:00:00"/>
    <n v="30686.14"/>
    <x v="1"/>
    <n v="1.5"/>
    <s v="NÃO"/>
    <n v="0"/>
    <n v="0"/>
    <n v="0"/>
    <x v="0"/>
    <n v="0"/>
    <n v="0"/>
    <n v="25"/>
    <n v="0"/>
    <n v="10"/>
    <n v="35"/>
    <x v="0"/>
    <x v="0"/>
    <x v="0"/>
  </r>
  <r>
    <s v="SKU-1003"/>
    <x v="2"/>
    <x v="0"/>
    <s v="UN"/>
    <n v="139"/>
    <n v="84"/>
    <n v="338"/>
    <n v="100"/>
    <n v="16.05"/>
    <n v="20"/>
    <s v="Brasil Industrial"/>
    <s v="CD Campinas"/>
    <s v="C"/>
    <d v="2026-07-02T00:00:00"/>
    <n v="2230.9499999999998"/>
    <x v="2"/>
    <n v="0.67"/>
    <s v="NÃO"/>
    <n v="0"/>
    <n v="0"/>
    <n v="0"/>
    <x v="0"/>
    <n v="0"/>
    <n v="0"/>
    <n v="5"/>
    <n v="0"/>
    <n v="5"/>
    <n v="10"/>
    <x v="0"/>
    <x v="0"/>
    <x v="0"/>
  </r>
  <r>
    <s v="SKU-1004"/>
    <x v="3"/>
    <x v="0"/>
    <s v="UN"/>
    <n v="119"/>
    <n v="24"/>
    <n v="72"/>
    <n v="50"/>
    <n v="2411.11"/>
    <n v="5"/>
    <s v="Fornecedor Beta"/>
    <s v="CD Santos"/>
    <s v="A"/>
    <d v="2025-12-04T00:00:00"/>
    <n v="286922.09000000003"/>
    <x v="3"/>
    <n v="0.17"/>
    <s v="NÃO"/>
    <n v="0"/>
    <n v="0"/>
    <n v="47"/>
    <x v="1"/>
    <n v="113322.17"/>
    <n v="40"/>
    <n v="25"/>
    <n v="0"/>
    <n v="0"/>
    <n v="65"/>
    <x v="1"/>
    <x v="1"/>
    <x v="1"/>
  </r>
  <r>
    <s v="SKU-1005"/>
    <x v="4"/>
    <x v="0"/>
    <s v="UN"/>
    <n v="144"/>
    <n v="109"/>
    <n v="374"/>
    <n v="25"/>
    <n v="74.989999999999995"/>
    <n v="10"/>
    <s v="Eixo Forte"/>
    <s v="CD Santos"/>
    <s v="C"/>
    <d v="2026-01-12T00:00:00"/>
    <n v="10798.56"/>
    <x v="4"/>
    <n v="0.33"/>
    <s v="NÃO"/>
    <n v="0"/>
    <n v="0"/>
    <n v="0"/>
    <x v="0"/>
    <n v="0"/>
    <n v="0"/>
    <n v="5"/>
    <n v="0"/>
    <n v="0"/>
    <n v="5"/>
    <x v="0"/>
    <x v="0"/>
    <x v="0"/>
  </r>
  <r>
    <s v="SKU-1006"/>
    <x v="5"/>
    <x v="0"/>
    <s v="UN"/>
    <n v="291"/>
    <n v="78"/>
    <n v="300"/>
    <n v="107"/>
    <n v="78.25"/>
    <n v="20"/>
    <s v="Delta Manutenção"/>
    <s v="CD Curitiba"/>
    <s v="C"/>
    <d v="2026-04-29T00:00:00"/>
    <n v="22770.75"/>
    <x v="5"/>
    <n v="0.67"/>
    <s v="NÃO"/>
    <n v="0"/>
    <n v="0"/>
    <n v="0"/>
    <x v="0"/>
    <n v="0"/>
    <n v="0"/>
    <n v="5"/>
    <n v="0"/>
    <n v="5"/>
    <n v="10"/>
    <x v="0"/>
    <x v="0"/>
    <x v="0"/>
  </r>
  <r>
    <s v="SKU-1007"/>
    <x v="6"/>
    <x v="0"/>
    <s v="UN"/>
    <n v="66"/>
    <n v="56"/>
    <n v="114"/>
    <n v="31"/>
    <n v="424.03"/>
    <n v="10"/>
    <s v="Fornecedor Gama"/>
    <s v="CD Campinas"/>
    <s v="B"/>
    <d v="2026-06-17T00:00:00"/>
    <n v="27985.98"/>
    <x v="6"/>
    <n v="0.33"/>
    <s v="NÃO"/>
    <n v="0"/>
    <n v="0"/>
    <n v="0"/>
    <x v="0"/>
    <n v="0"/>
    <n v="0"/>
    <n v="15"/>
    <n v="0"/>
    <n v="0"/>
    <n v="15"/>
    <x v="0"/>
    <x v="0"/>
    <x v="0"/>
  </r>
  <r>
    <s v="SKU-1008"/>
    <x v="7"/>
    <x v="0"/>
    <s v="UN"/>
    <n v="66"/>
    <n v="59"/>
    <n v="155"/>
    <n v="18"/>
    <n v="419.41"/>
    <n v="3"/>
    <s v="Fornecedor Alfa"/>
    <s v="CD Campinas"/>
    <s v="B"/>
    <d v="2026-01-03T00:00:00"/>
    <n v="27681.06"/>
    <x v="7"/>
    <n v="0.1"/>
    <s v="NÃO"/>
    <n v="0"/>
    <n v="0"/>
    <n v="0"/>
    <x v="0"/>
    <n v="0"/>
    <n v="0"/>
    <n v="15"/>
    <n v="0"/>
    <n v="0"/>
    <n v="15"/>
    <x v="0"/>
    <x v="0"/>
    <x v="0"/>
  </r>
  <r>
    <s v="SKU-1009"/>
    <x v="8"/>
    <x v="0"/>
    <s v="UN"/>
    <n v="32"/>
    <n v="51"/>
    <n v="171"/>
    <n v="19"/>
    <n v="126.5"/>
    <n v="45"/>
    <s v="Eixo Forte"/>
    <s v="CD Santos"/>
    <s v="B"/>
    <d v="2026-06-22T00:00:00"/>
    <n v="4048"/>
    <x v="8"/>
    <n v="1.5"/>
    <s v="NÃO"/>
    <n v="19"/>
    <n v="2403.5"/>
    <n v="0"/>
    <x v="0"/>
    <n v="2403.5"/>
    <n v="25"/>
    <n v="15"/>
    <n v="0"/>
    <n v="10"/>
    <n v="50"/>
    <x v="2"/>
    <x v="1"/>
    <x v="2"/>
  </r>
  <r>
    <s v="SKU-1010"/>
    <x v="9"/>
    <x v="0"/>
    <s v="UN"/>
    <n v="283"/>
    <n v="31"/>
    <n v="180"/>
    <n v="103"/>
    <n v="270.16000000000003"/>
    <n v="7"/>
    <s v="Fornecedor Gama"/>
    <s v="CD Santos"/>
    <s v="B"/>
    <d v="2026-03-20T00:00:00"/>
    <n v="76455.28"/>
    <x v="9"/>
    <n v="0.23"/>
    <s v="NÃO"/>
    <n v="0"/>
    <n v="0"/>
    <n v="103"/>
    <x v="2"/>
    <n v="27826.48"/>
    <n v="40"/>
    <n v="15"/>
    <n v="0"/>
    <n v="0"/>
    <n v="55"/>
    <x v="1"/>
    <x v="1"/>
    <x v="1"/>
  </r>
  <r>
    <s v="SKU-1011"/>
    <x v="10"/>
    <x v="1"/>
    <s v="UN"/>
    <n v="44"/>
    <n v="49"/>
    <n v="450"/>
    <n v="19"/>
    <n v="77.78"/>
    <n v="5"/>
    <s v="Fornecedor Beta"/>
    <s v="CD Curitiba"/>
    <s v="C"/>
    <d v="2026-04-21T00:00:00"/>
    <n v="3422.32"/>
    <x v="10"/>
    <n v="0.17"/>
    <s v="NÃO"/>
    <n v="5"/>
    <n v="388.9"/>
    <n v="0"/>
    <x v="0"/>
    <n v="388.9"/>
    <n v="10"/>
    <n v="5"/>
    <n v="0"/>
    <n v="0"/>
    <n v="15"/>
    <x v="2"/>
    <x v="2"/>
    <x v="3"/>
  </r>
  <r>
    <s v="SKU-1012"/>
    <x v="11"/>
    <x v="1"/>
    <s v="UN"/>
    <n v="114"/>
    <n v="100"/>
    <n v="185"/>
    <n v="63"/>
    <n v="48.56"/>
    <n v="15"/>
    <s v="Fornecedor Alfa"/>
    <s v="CD Santos"/>
    <s v="C"/>
    <d v="2026-01-13T00:00:00"/>
    <n v="5535.84"/>
    <x v="11"/>
    <n v="0.5"/>
    <s v="NÃO"/>
    <n v="0"/>
    <n v="0"/>
    <n v="0"/>
    <x v="0"/>
    <n v="0"/>
    <n v="0"/>
    <n v="5"/>
    <n v="0"/>
    <n v="5"/>
    <n v="10"/>
    <x v="0"/>
    <x v="0"/>
    <x v="0"/>
  </r>
  <r>
    <s v="SKU-1013"/>
    <x v="12"/>
    <x v="1"/>
    <s v="UN"/>
    <n v="0"/>
    <n v="15"/>
    <n v="122"/>
    <n v="9"/>
    <n v="104.84"/>
    <n v="5"/>
    <s v="Eixo Forte"/>
    <s v="CD Curitiba"/>
    <s v="B"/>
    <d v="2025-12-18T00:00:00"/>
    <n v="0"/>
    <x v="12"/>
    <n v="0.17"/>
    <s v="SIM"/>
    <n v="15"/>
    <n v="1572.6"/>
    <n v="0"/>
    <x v="0"/>
    <n v="1572.6"/>
    <n v="25"/>
    <n v="15"/>
    <n v="25"/>
    <n v="0"/>
    <n v="65"/>
    <x v="2"/>
    <x v="1"/>
    <x v="2"/>
  </r>
  <r>
    <s v="SKU-1014"/>
    <x v="13"/>
    <x v="1"/>
    <s v="UN"/>
    <n v="212"/>
    <n v="77"/>
    <n v="239"/>
    <n v="148"/>
    <n v="19.5"/>
    <n v="20"/>
    <s v="Atlas Componentes"/>
    <s v="CD Santos"/>
    <s v="C"/>
    <d v="2026-03-25T00:00:00"/>
    <n v="4134"/>
    <x v="13"/>
    <n v="0.67"/>
    <s v="NÃO"/>
    <n v="0"/>
    <n v="0"/>
    <n v="0"/>
    <x v="0"/>
    <n v="0"/>
    <n v="0"/>
    <n v="5"/>
    <n v="0"/>
    <n v="5"/>
    <n v="10"/>
    <x v="0"/>
    <x v="0"/>
    <x v="0"/>
  </r>
  <r>
    <s v="SKU-1015"/>
    <x v="14"/>
    <x v="1"/>
    <s v="UN"/>
    <n v="197"/>
    <n v="136"/>
    <n v="373"/>
    <n v="133"/>
    <n v="79.33"/>
    <n v="5"/>
    <s v="Fornecedor Gama"/>
    <s v="CD Santos"/>
    <s v="C"/>
    <d v="2026-07-07T00:00:00"/>
    <n v="15628.01"/>
    <x v="14"/>
    <n v="0.17"/>
    <s v="NÃO"/>
    <n v="0"/>
    <n v="0"/>
    <n v="0"/>
    <x v="0"/>
    <n v="0"/>
    <n v="0"/>
    <n v="5"/>
    <n v="0"/>
    <n v="0"/>
    <n v="5"/>
    <x v="0"/>
    <x v="0"/>
    <x v="0"/>
  </r>
  <r>
    <s v="SKU-1016"/>
    <x v="15"/>
    <x v="1"/>
    <s v="UN"/>
    <n v="186"/>
    <n v="46"/>
    <n v="191"/>
    <n v="46"/>
    <n v="48.88"/>
    <n v="30"/>
    <s v="Delta Manutenção"/>
    <s v="CD Curitiba"/>
    <s v="C"/>
    <d v="2026-06-04T00:00:00"/>
    <n v="9091.68"/>
    <x v="15"/>
    <n v="1"/>
    <s v="NÃO"/>
    <n v="0"/>
    <n v="0"/>
    <n v="0"/>
    <x v="0"/>
    <n v="0"/>
    <n v="0"/>
    <n v="5"/>
    <n v="0"/>
    <n v="10"/>
    <n v="15"/>
    <x v="0"/>
    <x v="0"/>
    <x v="0"/>
  </r>
  <r>
    <s v="SKU-1017"/>
    <x v="16"/>
    <x v="1"/>
    <s v="UN"/>
    <n v="188"/>
    <n v="56"/>
    <n v="191"/>
    <n v="79"/>
    <n v="448.01"/>
    <n v="10"/>
    <s v="Brasil Industrial"/>
    <s v="CD Campinas"/>
    <s v="B"/>
    <d v="2026-06-01T00:00:00"/>
    <n v="84225.88"/>
    <x v="3"/>
    <n v="0.33"/>
    <s v="NÃO"/>
    <n v="0"/>
    <n v="0"/>
    <n v="0"/>
    <x v="0"/>
    <n v="0"/>
    <n v="0"/>
    <n v="15"/>
    <n v="0"/>
    <n v="0"/>
    <n v="15"/>
    <x v="0"/>
    <x v="0"/>
    <x v="0"/>
  </r>
  <r>
    <s v="SKU-1018"/>
    <x v="17"/>
    <x v="1"/>
    <s v="UN"/>
    <n v="21"/>
    <n v="23"/>
    <n v="66"/>
    <n v="4"/>
    <n v="1662.5"/>
    <n v="5"/>
    <s v="Atlas Componentes"/>
    <s v="CD Campinas"/>
    <s v="A"/>
    <d v="2025-12-09T00:00:00"/>
    <n v="34912.5"/>
    <x v="16"/>
    <n v="0.17"/>
    <s v="NÃO"/>
    <n v="2"/>
    <n v="3325"/>
    <n v="0"/>
    <x v="0"/>
    <n v="3325"/>
    <n v="25"/>
    <n v="25"/>
    <n v="0"/>
    <n v="0"/>
    <n v="50"/>
    <x v="2"/>
    <x v="1"/>
    <x v="2"/>
  </r>
  <r>
    <s v="SKU-1019"/>
    <x v="18"/>
    <x v="1"/>
    <s v="UN"/>
    <n v="56"/>
    <n v="20"/>
    <n v="62"/>
    <n v="27"/>
    <n v="856.91"/>
    <n v="10"/>
    <s v="Fornecedor Gama"/>
    <s v="CD Campinas"/>
    <s v="A"/>
    <d v="2026-01-09T00:00:00"/>
    <n v="47986.96"/>
    <x v="17"/>
    <n v="0.33"/>
    <s v="NÃO"/>
    <n v="0"/>
    <n v="0"/>
    <n v="0"/>
    <x v="0"/>
    <n v="0"/>
    <n v="0"/>
    <n v="25"/>
    <n v="0"/>
    <n v="0"/>
    <n v="25"/>
    <x v="0"/>
    <x v="0"/>
    <x v="0"/>
  </r>
  <r>
    <s v="SKU-1020"/>
    <x v="19"/>
    <x v="1"/>
    <s v="UN"/>
    <n v="47"/>
    <n v="18"/>
    <n v="78"/>
    <n v="31"/>
    <n v="497.17"/>
    <n v="3"/>
    <s v="Brasil Industrial"/>
    <s v="CD Santos"/>
    <s v="A"/>
    <d v="2026-02-06T00:00:00"/>
    <n v="23366.99"/>
    <x v="18"/>
    <n v="0.1"/>
    <s v="NÃO"/>
    <n v="0"/>
    <n v="0"/>
    <n v="0"/>
    <x v="0"/>
    <n v="0"/>
    <n v="0"/>
    <n v="25"/>
    <n v="0"/>
    <n v="0"/>
    <n v="25"/>
    <x v="0"/>
    <x v="0"/>
    <x v="0"/>
  </r>
  <r>
    <s v="SKU-1021"/>
    <x v="20"/>
    <x v="2"/>
    <s v="UN"/>
    <n v="18"/>
    <n v="21"/>
    <n v="124"/>
    <n v="8"/>
    <n v="179.11"/>
    <n v="30"/>
    <s v="Eixo Forte"/>
    <s v="CD Campinas"/>
    <s v="B"/>
    <d v="2026-06-12T00:00:00"/>
    <n v="3223.98"/>
    <x v="19"/>
    <n v="1"/>
    <s v="NÃO"/>
    <n v="3"/>
    <n v="537.33000000000004"/>
    <n v="0"/>
    <x v="0"/>
    <n v="537.33000000000004"/>
    <n v="10"/>
    <n v="15"/>
    <n v="0"/>
    <n v="10"/>
    <n v="35"/>
    <x v="2"/>
    <x v="2"/>
    <x v="3"/>
  </r>
  <r>
    <s v="SKU-1022"/>
    <x v="21"/>
    <x v="2"/>
    <s v="UN"/>
    <n v="42"/>
    <n v="43"/>
    <n v="223"/>
    <n v="32"/>
    <n v="418.54"/>
    <n v="3"/>
    <s v="Delta Manutenção"/>
    <s v="CD Santos"/>
    <s v="B"/>
    <d v="2026-07-05T00:00:00"/>
    <n v="17578.68"/>
    <x v="20"/>
    <n v="0.1"/>
    <s v="NÃO"/>
    <n v="1"/>
    <n v="418.54"/>
    <n v="0"/>
    <x v="0"/>
    <n v="418.54"/>
    <n v="10"/>
    <n v="15"/>
    <n v="0"/>
    <n v="0"/>
    <n v="25"/>
    <x v="2"/>
    <x v="2"/>
    <x v="3"/>
  </r>
  <r>
    <s v="SKU-1023"/>
    <x v="22"/>
    <x v="2"/>
    <s v="UN"/>
    <n v="1"/>
    <n v="40"/>
    <n v="95"/>
    <n v="29"/>
    <n v="237.36"/>
    <n v="15"/>
    <s v="Fornecedor Gama"/>
    <s v="CD Campinas"/>
    <s v="B"/>
    <d v="2025-12-03T00:00:00"/>
    <n v="237.36"/>
    <x v="21"/>
    <n v="0.5"/>
    <s v="SIM"/>
    <n v="39"/>
    <n v="9257.0400000000009"/>
    <n v="0"/>
    <x v="0"/>
    <n v="9257.0400000000009"/>
    <n v="40"/>
    <n v="15"/>
    <n v="25"/>
    <n v="5"/>
    <n v="85"/>
    <x v="2"/>
    <x v="3"/>
    <x v="4"/>
  </r>
  <r>
    <s v="SKU-1024"/>
    <x v="23"/>
    <x v="2"/>
    <s v="M"/>
    <n v="19"/>
    <n v="50"/>
    <n v="214"/>
    <n v="14"/>
    <n v="432.5"/>
    <n v="3"/>
    <s v="Atlas Componentes"/>
    <s v="CD Curitiba"/>
    <s v="B"/>
    <d v="2026-03-02T00:00:00"/>
    <n v="8217.5"/>
    <x v="22"/>
    <n v="0.1"/>
    <s v="NÃO"/>
    <n v="31"/>
    <n v="13407.5"/>
    <n v="0"/>
    <x v="0"/>
    <n v="13407.5"/>
    <n v="40"/>
    <n v="15"/>
    <n v="0"/>
    <n v="0"/>
    <n v="55"/>
    <x v="2"/>
    <x v="1"/>
    <x v="2"/>
  </r>
  <r>
    <s v="SKU-1025"/>
    <x v="24"/>
    <x v="2"/>
    <s v="UN"/>
    <n v="349"/>
    <n v="45"/>
    <n v="213"/>
    <n v="85"/>
    <n v="60.56"/>
    <n v="5"/>
    <s v="Conecta Suprimentos"/>
    <s v="CD Santos"/>
    <s v="B"/>
    <d v="2025-12-23T00:00:00"/>
    <n v="21135.439999999999"/>
    <x v="23"/>
    <n v="0.17"/>
    <s v="NÃO"/>
    <n v="0"/>
    <n v="0"/>
    <n v="136"/>
    <x v="3"/>
    <n v="8236.16"/>
    <n v="40"/>
    <n v="15"/>
    <n v="0"/>
    <n v="0"/>
    <n v="55"/>
    <x v="1"/>
    <x v="1"/>
    <x v="1"/>
  </r>
  <r>
    <s v="SKU-1026"/>
    <x v="25"/>
    <x v="2"/>
    <s v="UN"/>
    <n v="57"/>
    <n v="60"/>
    <n v="346"/>
    <n v="29"/>
    <n v="61.42"/>
    <n v="3"/>
    <s v="Brasil Industrial"/>
    <s v="CD Campinas"/>
    <s v="C"/>
    <d v="2026-02-20T00:00:00"/>
    <n v="3500.94"/>
    <x v="24"/>
    <n v="0.1"/>
    <s v="NÃO"/>
    <n v="3"/>
    <n v="184.26"/>
    <n v="0"/>
    <x v="0"/>
    <n v="184.26"/>
    <n v="10"/>
    <n v="5"/>
    <n v="0"/>
    <n v="0"/>
    <n v="15"/>
    <x v="2"/>
    <x v="2"/>
    <x v="3"/>
  </r>
  <r>
    <s v="SKU-1027"/>
    <x v="26"/>
    <x v="2"/>
    <s v="UN"/>
    <n v="41"/>
    <n v="70"/>
    <n v="283"/>
    <n v="20"/>
    <n v="51.74"/>
    <n v="30"/>
    <s v="Eixo Forte"/>
    <s v="CD Campinas"/>
    <s v="C"/>
    <d v="2026-06-25T00:00:00"/>
    <n v="2121.34"/>
    <x v="25"/>
    <n v="1"/>
    <s v="NÃO"/>
    <n v="29"/>
    <n v="1500.46"/>
    <n v="0"/>
    <x v="0"/>
    <n v="1500.46"/>
    <n v="25"/>
    <n v="5"/>
    <n v="0"/>
    <n v="10"/>
    <n v="40"/>
    <x v="2"/>
    <x v="1"/>
    <x v="2"/>
  </r>
  <r>
    <s v="SKU-1028"/>
    <x v="27"/>
    <x v="2"/>
    <s v="M"/>
    <n v="55"/>
    <n v="19"/>
    <n v="61"/>
    <n v="41"/>
    <n v="348.26"/>
    <n v="5"/>
    <s v="Delta Manutenção"/>
    <s v="CD Curitiba"/>
    <s v="B"/>
    <d v="2026-03-13T00:00:00"/>
    <n v="19154.3"/>
    <x v="26"/>
    <n v="0.17"/>
    <s v="NÃO"/>
    <n v="0"/>
    <n v="0"/>
    <n v="0"/>
    <x v="0"/>
    <n v="0"/>
    <n v="0"/>
    <n v="15"/>
    <n v="0"/>
    <n v="0"/>
    <n v="15"/>
    <x v="0"/>
    <x v="0"/>
    <x v="0"/>
  </r>
  <r>
    <s v="SKU-1029"/>
    <x v="28"/>
    <x v="2"/>
    <s v="UN"/>
    <n v="39"/>
    <n v="19"/>
    <n v="121"/>
    <n v="16"/>
    <n v="422.64"/>
    <n v="15"/>
    <s v="Atlas Componentes"/>
    <s v="CD Curitiba"/>
    <s v="B"/>
    <d v="2026-02-22T00:00:00"/>
    <n v="16482.96"/>
    <x v="27"/>
    <n v="0.5"/>
    <s v="NÃO"/>
    <n v="0"/>
    <n v="0"/>
    <n v="0"/>
    <x v="0"/>
    <n v="0"/>
    <n v="0"/>
    <n v="15"/>
    <n v="0"/>
    <n v="5"/>
    <n v="20"/>
    <x v="0"/>
    <x v="0"/>
    <x v="0"/>
  </r>
  <r>
    <s v="SKU-1030"/>
    <x v="29"/>
    <x v="2"/>
    <s v="UN"/>
    <n v="282"/>
    <n v="114"/>
    <n v="247"/>
    <n v="87"/>
    <n v="28.35"/>
    <n v="5"/>
    <s v="Conecta Suprimentos"/>
    <s v="CD Campinas"/>
    <s v="C"/>
    <d v="2026-01-19T00:00:00"/>
    <n v="7994.7"/>
    <x v="28"/>
    <n v="0.17"/>
    <s v="NÃO"/>
    <n v="0"/>
    <n v="0"/>
    <n v="35"/>
    <x v="4"/>
    <n v="992.25"/>
    <n v="10"/>
    <n v="5"/>
    <n v="0"/>
    <n v="0"/>
    <n v="15"/>
    <x v="1"/>
    <x v="2"/>
    <x v="5"/>
  </r>
  <r>
    <s v="SKU-1031"/>
    <x v="30"/>
    <x v="3"/>
    <s v="UN"/>
    <n v="69"/>
    <n v="36"/>
    <n v="128"/>
    <n v="31"/>
    <n v="126.36"/>
    <n v="15"/>
    <s v="Atlas Componentes"/>
    <s v="CD Santos"/>
    <s v="B"/>
    <d v="2025-12-09T00:00:00"/>
    <n v="8718.84"/>
    <x v="29"/>
    <n v="0.5"/>
    <s v="NÃO"/>
    <n v="0"/>
    <n v="0"/>
    <n v="0"/>
    <x v="0"/>
    <n v="0"/>
    <n v="0"/>
    <n v="15"/>
    <n v="0"/>
    <n v="5"/>
    <n v="20"/>
    <x v="0"/>
    <x v="0"/>
    <x v="0"/>
  </r>
  <r>
    <s v="SKU-1032"/>
    <x v="31"/>
    <x v="3"/>
    <s v="UN"/>
    <n v="51"/>
    <n v="35"/>
    <n v="116"/>
    <n v="27"/>
    <n v="74.98"/>
    <n v="15"/>
    <s v="Fornecedor Gama"/>
    <s v="CD Curitiba"/>
    <s v="C"/>
    <d v="2026-06-17T00:00:00"/>
    <n v="3823.98"/>
    <x v="30"/>
    <n v="0.5"/>
    <s v="NÃO"/>
    <n v="0"/>
    <n v="0"/>
    <n v="0"/>
    <x v="0"/>
    <n v="0"/>
    <n v="0"/>
    <n v="5"/>
    <n v="0"/>
    <n v="5"/>
    <n v="10"/>
    <x v="0"/>
    <x v="0"/>
    <x v="0"/>
  </r>
  <r>
    <s v="SKU-1033"/>
    <x v="32"/>
    <x v="3"/>
    <s v="UN"/>
    <n v="201"/>
    <n v="44"/>
    <n v="162"/>
    <n v="95"/>
    <n v="51.36"/>
    <n v="20"/>
    <s v="Conecta Suprimentos"/>
    <s v="CD Campinas"/>
    <s v="C"/>
    <d v="2026-03-01T00:00:00"/>
    <n v="10323.36"/>
    <x v="31"/>
    <n v="0.67"/>
    <s v="NÃO"/>
    <n v="0"/>
    <n v="0"/>
    <n v="39"/>
    <x v="5"/>
    <n v="2003.04"/>
    <n v="25"/>
    <n v="5"/>
    <n v="0"/>
    <n v="5"/>
    <n v="35"/>
    <x v="1"/>
    <x v="2"/>
    <x v="5"/>
  </r>
  <r>
    <s v="SKU-1034"/>
    <x v="33"/>
    <x v="3"/>
    <s v="M"/>
    <n v="2"/>
    <n v="6"/>
    <n v="66"/>
    <n v="3"/>
    <n v="1036.06"/>
    <n v="20"/>
    <s v="Fornecedor Beta"/>
    <s v="CD Curitiba"/>
    <s v="A"/>
    <d v="2026-01-10T00:00:00"/>
    <n v="2072.12"/>
    <x v="32"/>
    <n v="0.67"/>
    <s v="NÃO"/>
    <n v="4"/>
    <n v="4144.24"/>
    <n v="0"/>
    <x v="0"/>
    <n v="4144.24"/>
    <n v="25"/>
    <n v="25"/>
    <n v="0"/>
    <n v="5"/>
    <n v="55"/>
    <x v="2"/>
    <x v="1"/>
    <x v="2"/>
  </r>
  <r>
    <s v="SKU-1035"/>
    <x v="34"/>
    <x v="3"/>
    <s v="UN"/>
    <n v="0"/>
    <n v="60"/>
    <n v="223"/>
    <n v="38"/>
    <n v="83.47"/>
    <n v="30"/>
    <s v="Conecta Suprimentos"/>
    <s v="CD Curitiba"/>
    <s v="C"/>
    <d v="2026-07-22T00:00:00"/>
    <n v="0"/>
    <x v="12"/>
    <n v="1"/>
    <s v="SIM"/>
    <n v="60"/>
    <n v="5008.2"/>
    <n v="0"/>
    <x v="0"/>
    <n v="5008.2"/>
    <n v="40"/>
    <n v="5"/>
    <n v="25"/>
    <n v="10"/>
    <n v="80"/>
    <x v="2"/>
    <x v="3"/>
    <x v="4"/>
  </r>
  <r>
    <s v="SKU-1036"/>
    <x v="35"/>
    <x v="3"/>
    <s v="UN"/>
    <n v="632"/>
    <n v="82"/>
    <n v="504"/>
    <n v="195"/>
    <n v="70.849999999999994"/>
    <n v="5"/>
    <s v="Atlas Componentes"/>
    <s v="CD Campinas"/>
    <s v="C"/>
    <d v="2026-04-22T00:00:00"/>
    <n v="44777.2"/>
    <x v="28"/>
    <n v="0.17"/>
    <s v="NÃO"/>
    <n v="0"/>
    <n v="0"/>
    <n v="128"/>
    <x v="6"/>
    <n v="9068.7999999999993"/>
    <n v="40"/>
    <n v="5"/>
    <n v="0"/>
    <n v="0"/>
    <n v="45"/>
    <x v="1"/>
    <x v="1"/>
    <x v="1"/>
  </r>
  <r>
    <s v="SKU-1037"/>
    <x v="36"/>
    <x v="3"/>
    <s v="UN"/>
    <n v="102"/>
    <n v="44"/>
    <n v="173"/>
    <n v="28"/>
    <n v="374.8"/>
    <n v="10"/>
    <s v="Fornecedor Alfa"/>
    <s v="CD Campinas"/>
    <s v="B"/>
    <d v="2026-04-17T00:00:00"/>
    <n v="38229.599999999999"/>
    <x v="33"/>
    <n v="0.33"/>
    <s v="NÃO"/>
    <n v="0"/>
    <n v="0"/>
    <n v="0"/>
    <x v="0"/>
    <n v="0"/>
    <n v="0"/>
    <n v="15"/>
    <n v="0"/>
    <n v="0"/>
    <n v="15"/>
    <x v="0"/>
    <x v="0"/>
    <x v="0"/>
  </r>
  <r>
    <s v="SKU-1038"/>
    <x v="37"/>
    <x v="3"/>
    <s v="M"/>
    <n v="269"/>
    <n v="65"/>
    <n v="324"/>
    <n v="150"/>
    <n v="87.09"/>
    <n v="20"/>
    <s v="Atlas Componentes"/>
    <s v="CD Santos"/>
    <s v="C"/>
    <d v="2025-11-30T00:00:00"/>
    <n v="23427.21"/>
    <x v="34"/>
    <n v="0.67"/>
    <s v="NÃO"/>
    <n v="0"/>
    <n v="0"/>
    <n v="0"/>
    <x v="0"/>
    <n v="0"/>
    <n v="0"/>
    <n v="5"/>
    <n v="0"/>
    <n v="5"/>
    <n v="10"/>
    <x v="0"/>
    <x v="0"/>
    <x v="0"/>
  </r>
  <r>
    <s v="SKU-1039"/>
    <x v="38"/>
    <x v="3"/>
    <s v="UN"/>
    <n v="77"/>
    <n v="104"/>
    <n v="319"/>
    <n v="42"/>
    <n v="24.99"/>
    <n v="20"/>
    <s v="Brasil Industrial"/>
    <s v="CD Campinas"/>
    <s v="C"/>
    <d v="2026-04-08T00:00:00"/>
    <n v="1924.22999999999"/>
    <x v="35"/>
    <n v="0.67"/>
    <s v="NÃO"/>
    <n v="27"/>
    <n v="674.729999999999"/>
    <n v="0"/>
    <x v="0"/>
    <n v="674.729999999999"/>
    <n v="10"/>
    <n v="5"/>
    <n v="0"/>
    <n v="5"/>
    <n v="20"/>
    <x v="2"/>
    <x v="2"/>
    <x v="3"/>
  </r>
  <r>
    <s v="SKU-1040"/>
    <x v="39"/>
    <x v="3"/>
    <s v="UN"/>
    <n v="301"/>
    <n v="35"/>
    <n v="477"/>
    <n v="212"/>
    <n v="18.73"/>
    <n v="10"/>
    <s v="Fornecedor Beta"/>
    <s v="CD Santos"/>
    <s v="C"/>
    <d v="2026-04-26T00:00:00"/>
    <n v="5637.73"/>
    <x v="36"/>
    <n v="0.33"/>
    <s v="NÃO"/>
    <n v="0"/>
    <n v="0"/>
    <n v="0"/>
    <x v="0"/>
    <n v="0"/>
    <n v="0"/>
    <n v="5"/>
    <n v="0"/>
    <n v="0"/>
    <n v="5"/>
    <x v="0"/>
    <x v="0"/>
    <x v="0"/>
  </r>
  <r>
    <s v="SKU-1041"/>
    <x v="40"/>
    <x v="4"/>
    <s v="M"/>
    <n v="140"/>
    <n v="109"/>
    <n v="349"/>
    <n v="81"/>
    <n v="83.03"/>
    <n v="15"/>
    <s v="Eixo Forte"/>
    <s v="CD Curitiba"/>
    <s v="C"/>
    <d v="2026-03-21T00:00:00"/>
    <n v="11624.2"/>
    <x v="37"/>
    <n v="0.5"/>
    <s v="NÃO"/>
    <n v="0"/>
    <n v="0"/>
    <n v="0"/>
    <x v="0"/>
    <n v="0"/>
    <n v="0"/>
    <n v="5"/>
    <n v="0"/>
    <n v="5"/>
    <n v="10"/>
    <x v="0"/>
    <x v="0"/>
    <x v="0"/>
  </r>
  <r>
    <s v="SKU-1042"/>
    <x v="41"/>
    <x v="4"/>
    <s v="UN"/>
    <n v="25"/>
    <n v="33"/>
    <n v="105"/>
    <n v="18"/>
    <n v="204.98"/>
    <n v="7"/>
    <s v="Eixo Forte"/>
    <s v="CD Campinas"/>
    <s v="B"/>
    <d v="2026-02-21T00:00:00"/>
    <n v="5124.5"/>
    <x v="2"/>
    <n v="0.23"/>
    <s v="NÃO"/>
    <n v="8"/>
    <n v="1639.84"/>
    <n v="0"/>
    <x v="0"/>
    <n v="1639.84"/>
    <n v="25"/>
    <n v="15"/>
    <n v="0"/>
    <n v="0"/>
    <n v="40"/>
    <x v="2"/>
    <x v="1"/>
    <x v="2"/>
  </r>
  <r>
    <s v="SKU-1043"/>
    <x v="42"/>
    <x v="4"/>
    <s v="UN"/>
    <n v="214"/>
    <n v="66"/>
    <n v="253"/>
    <n v="109"/>
    <n v="2.04"/>
    <n v="20"/>
    <s v="Fornecedor Gama"/>
    <s v="CD Campinas"/>
    <s v="C"/>
    <d v="2026-03-31T00:00:00"/>
    <n v="436.56"/>
    <x v="38"/>
    <n v="0.67"/>
    <s v="NÃO"/>
    <n v="0"/>
    <n v="0"/>
    <n v="0"/>
    <x v="0"/>
    <n v="0"/>
    <n v="0"/>
    <n v="5"/>
    <n v="0"/>
    <n v="5"/>
    <n v="10"/>
    <x v="0"/>
    <x v="0"/>
    <x v="0"/>
  </r>
  <r>
    <s v="SKU-1044"/>
    <x v="43"/>
    <x v="4"/>
    <s v="UN"/>
    <n v="203"/>
    <n v="131"/>
    <n v="297"/>
    <n v="93"/>
    <n v="46.98"/>
    <n v="20"/>
    <s v="Delta Manutenção"/>
    <s v="CD Curitiba"/>
    <s v="C"/>
    <d v="2026-07-05T00:00:00"/>
    <n v="9536.9399999999896"/>
    <x v="39"/>
    <n v="0.67"/>
    <s v="NÃO"/>
    <n v="0"/>
    <n v="0"/>
    <n v="0"/>
    <x v="0"/>
    <n v="0"/>
    <n v="0"/>
    <n v="5"/>
    <n v="0"/>
    <n v="5"/>
    <n v="10"/>
    <x v="0"/>
    <x v="0"/>
    <x v="0"/>
  </r>
  <r>
    <s v="SKU-1045"/>
    <x v="44"/>
    <x v="4"/>
    <s v="M"/>
    <n v="16"/>
    <n v="24"/>
    <n v="70"/>
    <n v="12"/>
    <n v="370.69"/>
    <n v="5"/>
    <s v="Fornecedor Beta"/>
    <s v="CD Curitiba"/>
    <s v="B"/>
    <d v="2026-04-03T00:00:00"/>
    <n v="5931.04"/>
    <x v="40"/>
    <n v="0.17"/>
    <s v="NÃO"/>
    <n v="8"/>
    <n v="2965.52"/>
    <n v="0"/>
    <x v="0"/>
    <n v="2965.52"/>
    <n v="25"/>
    <n v="15"/>
    <n v="0"/>
    <n v="0"/>
    <n v="40"/>
    <x v="2"/>
    <x v="1"/>
    <x v="2"/>
  </r>
  <r>
    <s v="SKU-1046"/>
    <x v="45"/>
    <x v="4"/>
    <s v="UN"/>
    <n v="154"/>
    <n v="79"/>
    <n v="412"/>
    <n v="83"/>
    <n v="65.209999999999994"/>
    <n v="3"/>
    <s v="Brasil Industrial"/>
    <s v="CD Campinas"/>
    <s v="C"/>
    <d v="2025-12-12T00:00:00"/>
    <n v="10042.3399999999"/>
    <x v="41"/>
    <n v="0.1"/>
    <s v="NÃO"/>
    <n v="0"/>
    <n v="0"/>
    <n v="0"/>
    <x v="0"/>
    <n v="0"/>
    <n v="0"/>
    <n v="5"/>
    <n v="0"/>
    <n v="0"/>
    <n v="5"/>
    <x v="0"/>
    <x v="0"/>
    <x v="0"/>
  </r>
  <r>
    <s v="SKU-1047"/>
    <x v="46"/>
    <x v="4"/>
    <s v="UN"/>
    <n v="201"/>
    <n v="59"/>
    <n v="231"/>
    <n v="60"/>
    <n v="369.69"/>
    <n v="5"/>
    <s v="Conecta Suprimentos"/>
    <s v="CD Campinas"/>
    <s v="B"/>
    <d v="2026-04-03T00:00:00"/>
    <n v="74307.69"/>
    <x v="42"/>
    <n v="0.17"/>
    <s v="NÃO"/>
    <n v="0"/>
    <n v="0"/>
    <n v="0"/>
    <x v="0"/>
    <n v="0"/>
    <n v="0"/>
    <n v="15"/>
    <n v="0"/>
    <n v="0"/>
    <n v="15"/>
    <x v="0"/>
    <x v="0"/>
    <x v="0"/>
  </r>
  <r>
    <s v="SKU-1048"/>
    <x v="47"/>
    <x v="4"/>
    <s v="UN"/>
    <n v="0"/>
    <n v="106"/>
    <n v="348"/>
    <n v="72"/>
    <n v="88.93"/>
    <n v="30"/>
    <s v="Fornecedor Gama"/>
    <s v="CD Santos"/>
    <s v="C"/>
    <d v="2025-12-28T00:00:00"/>
    <n v="0"/>
    <x v="12"/>
    <n v="1"/>
    <s v="SIM"/>
    <n v="106"/>
    <n v="9426.58"/>
    <n v="0"/>
    <x v="0"/>
    <n v="9426.58"/>
    <n v="40"/>
    <n v="5"/>
    <n v="25"/>
    <n v="10"/>
    <n v="80"/>
    <x v="2"/>
    <x v="3"/>
    <x v="4"/>
  </r>
  <r>
    <s v="SKU-1049"/>
    <x v="48"/>
    <x v="4"/>
    <s v="M"/>
    <n v="340"/>
    <n v="63"/>
    <n v="269"/>
    <n v="207"/>
    <n v="43.77"/>
    <n v="45"/>
    <s v="Delta Manutenção"/>
    <s v="CD Campinas"/>
    <s v="C"/>
    <d v="2026-02-18T00:00:00"/>
    <n v="14881.8"/>
    <x v="43"/>
    <n v="1.5"/>
    <s v="NÃO"/>
    <n v="0"/>
    <n v="0"/>
    <n v="71"/>
    <x v="7"/>
    <n v="3107.67"/>
    <n v="25"/>
    <n v="5"/>
    <n v="0"/>
    <n v="10"/>
    <n v="40"/>
    <x v="1"/>
    <x v="1"/>
    <x v="1"/>
  </r>
  <r>
    <s v="SKU-1050"/>
    <x v="49"/>
    <x v="4"/>
    <s v="UN"/>
    <n v="99"/>
    <n v="30"/>
    <n v="139"/>
    <n v="19"/>
    <n v="332.55"/>
    <n v="7"/>
    <s v="Fornecedor Beta"/>
    <s v="CD Curitiba"/>
    <s v="B"/>
    <d v="2026-05-30T00:00:00"/>
    <n v="32922.449999999997"/>
    <x v="44"/>
    <n v="0.23"/>
    <s v="NÃO"/>
    <n v="0"/>
    <n v="0"/>
    <n v="0"/>
    <x v="0"/>
    <n v="0"/>
    <n v="0"/>
    <n v="15"/>
    <n v="0"/>
    <n v="0"/>
    <n v="15"/>
    <x v="0"/>
    <x v="0"/>
    <x v="0"/>
  </r>
  <r>
    <s v="SKU-1051"/>
    <x v="50"/>
    <x v="5"/>
    <s v="UN"/>
    <n v="77"/>
    <n v="18"/>
    <n v="85"/>
    <n v="30"/>
    <n v="795.58"/>
    <n v="10"/>
    <s v="Fornecedor Beta"/>
    <s v="CD Campinas"/>
    <s v="A"/>
    <d v="2025-12-27T00:00:00"/>
    <n v="61259.66"/>
    <x v="45"/>
    <n v="0.33"/>
    <s v="NÃO"/>
    <n v="0"/>
    <n v="0"/>
    <n v="0"/>
    <x v="0"/>
    <n v="0"/>
    <n v="0"/>
    <n v="25"/>
    <n v="0"/>
    <n v="0"/>
    <n v="25"/>
    <x v="0"/>
    <x v="0"/>
    <x v="0"/>
  </r>
  <r>
    <s v="SKU-1052"/>
    <x v="51"/>
    <x v="5"/>
    <s v="UN"/>
    <n v="357"/>
    <n v="119"/>
    <n v="209"/>
    <n v="135"/>
    <n v="53.4"/>
    <n v="3"/>
    <s v="Eixo Forte"/>
    <s v="CD Campinas"/>
    <s v="C"/>
    <d v="2026-04-29T00:00:00"/>
    <n v="19063.8"/>
    <x v="46"/>
    <n v="0.1"/>
    <s v="NÃO"/>
    <n v="0"/>
    <n v="0"/>
    <n v="148"/>
    <x v="8"/>
    <n v="7903.2"/>
    <n v="40"/>
    <n v="5"/>
    <n v="0"/>
    <n v="0"/>
    <n v="45"/>
    <x v="1"/>
    <x v="1"/>
    <x v="1"/>
  </r>
  <r>
    <s v="SKU-1053"/>
    <x v="52"/>
    <x v="5"/>
    <s v="UN"/>
    <n v="718"/>
    <n v="83"/>
    <n v="438"/>
    <n v="452"/>
    <n v="85.9"/>
    <n v="10"/>
    <s v="Delta Manutenção"/>
    <s v="CD Campinas"/>
    <s v="C"/>
    <d v="2026-03-26T00:00:00"/>
    <n v="61676.2"/>
    <x v="47"/>
    <n v="0.33"/>
    <s v="NÃO"/>
    <n v="0"/>
    <n v="0"/>
    <n v="280"/>
    <x v="9"/>
    <n v="24052"/>
    <n v="40"/>
    <n v="5"/>
    <n v="0"/>
    <n v="0"/>
    <n v="45"/>
    <x v="1"/>
    <x v="1"/>
    <x v="1"/>
  </r>
  <r>
    <s v="SKU-1054"/>
    <x v="53"/>
    <x v="5"/>
    <s v="UN"/>
    <n v="299"/>
    <n v="36"/>
    <n v="179"/>
    <n v="209"/>
    <n v="51.9"/>
    <n v="3"/>
    <s v="Fornecedor Beta"/>
    <s v="CD Curitiba"/>
    <s v="B"/>
    <d v="2025-12-08T00:00:00"/>
    <n v="15518.1"/>
    <x v="13"/>
    <n v="0.1"/>
    <s v="NÃO"/>
    <n v="0"/>
    <n v="0"/>
    <n v="120"/>
    <x v="10"/>
    <n v="6228"/>
    <n v="40"/>
    <n v="15"/>
    <n v="0"/>
    <n v="0"/>
    <n v="55"/>
    <x v="1"/>
    <x v="1"/>
    <x v="1"/>
  </r>
  <r>
    <s v="SKU-1055"/>
    <x v="54"/>
    <x v="5"/>
    <s v="UN"/>
    <n v="60"/>
    <n v="112"/>
    <n v="411"/>
    <n v="29"/>
    <n v="4.38"/>
    <n v="15"/>
    <s v="Fornecedor Alfa"/>
    <s v="CD Santos"/>
    <s v="C"/>
    <d v="2026-04-22T00:00:00"/>
    <n v="262.8"/>
    <x v="17"/>
    <n v="0.5"/>
    <s v="NÃO"/>
    <n v="52"/>
    <n v="227.76"/>
    <n v="0"/>
    <x v="0"/>
    <n v="227.76"/>
    <n v="10"/>
    <n v="5"/>
    <n v="0"/>
    <n v="5"/>
    <n v="20"/>
    <x v="2"/>
    <x v="2"/>
    <x v="3"/>
  </r>
  <r>
    <s v="SKU-1056"/>
    <x v="55"/>
    <x v="5"/>
    <s v="UN"/>
    <n v="257"/>
    <n v="39"/>
    <n v="150"/>
    <n v="103"/>
    <n v="178.38"/>
    <n v="5"/>
    <s v="Atlas Componentes"/>
    <s v="CD Curitiba"/>
    <s v="B"/>
    <d v="2026-03-30T00:00:00"/>
    <n v="45843.659999999902"/>
    <x v="48"/>
    <n v="0.17"/>
    <s v="NÃO"/>
    <n v="0"/>
    <n v="0"/>
    <n v="107"/>
    <x v="11"/>
    <n v="19086.66"/>
    <n v="40"/>
    <n v="15"/>
    <n v="0"/>
    <n v="0"/>
    <n v="55"/>
    <x v="1"/>
    <x v="1"/>
    <x v="1"/>
  </r>
  <r>
    <s v="SKU-1057"/>
    <x v="56"/>
    <x v="5"/>
    <s v="UN"/>
    <n v="240"/>
    <n v="74"/>
    <n v="268"/>
    <n v="41"/>
    <n v="89.99"/>
    <n v="3"/>
    <s v="Delta Manutenção"/>
    <s v="CD Santos"/>
    <s v="C"/>
    <d v="2026-05-26T00:00:00"/>
    <n v="21597.599999999999"/>
    <x v="49"/>
    <n v="0.1"/>
    <s v="NÃO"/>
    <n v="0"/>
    <n v="0"/>
    <n v="0"/>
    <x v="0"/>
    <n v="0"/>
    <n v="0"/>
    <n v="5"/>
    <n v="0"/>
    <n v="0"/>
    <n v="5"/>
    <x v="0"/>
    <x v="0"/>
    <x v="0"/>
  </r>
  <r>
    <s v="SKU-1058"/>
    <x v="57"/>
    <x v="5"/>
    <s v="UN"/>
    <n v="28"/>
    <n v="90"/>
    <n v="512"/>
    <n v="38"/>
    <n v="22.99"/>
    <n v="15"/>
    <s v="Fornecedor Alfa"/>
    <s v="CD Santos"/>
    <s v="C"/>
    <d v="2026-01-13T00:00:00"/>
    <n v="643.719999999999"/>
    <x v="50"/>
    <n v="0.5"/>
    <s v="NÃO"/>
    <n v="62"/>
    <n v="1425.3799999999901"/>
    <n v="0"/>
    <x v="0"/>
    <n v="1425.3799999999901"/>
    <n v="25"/>
    <n v="5"/>
    <n v="0"/>
    <n v="5"/>
    <n v="35"/>
    <x v="2"/>
    <x v="2"/>
    <x v="3"/>
  </r>
  <r>
    <s v="SKU-1059"/>
    <x v="58"/>
    <x v="5"/>
    <s v="UN"/>
    <n v="301"/>
    <n v="121"/>
    <n v="259"/>
    <n v="219"/>
    <n v="86.81"/>
    <n v="5"/>
    <s v="Atlas Componentes"/>
    <s v="CD Campinas"/>
    <s v="C"/>
    <d v="2026-03-02T00:00:00"/>
    <n v="26129.81"/>
    <x v="51"/>
    <n v="0.17"/>
    <s v="NÃO"/>
    <n v="0"/>
    <n v="0"/>
    <n v="42"/>
    <x v="12"/>
    <n v="3646.02"/>
    <n v="25"/>
    <n v="5"/>
    <n v="0"/>
    <n v="0"/>
    <n v="30"/>
    <x v="1"/>
    <x v="2"/>
    <x v="5"/>
  </r>
  <r>
    <s v="SKU-1060"/>
    <x v="59"/>
    <x v="5"/>
    <s v="UN"/>
    <n v="463"/>
    <n v="78"/>
    <n v="361"/>
    <n v="90"/>
    <n v="81.91"/>
    <n v="10"/>
    <s v="Eixo Forte"/>
    <s v="CD Curitiba"/>
    <s v="C"/>
    <d v="2026-07-02T00:00:00"/>
    <n v="37924.33"/>
    <x v="52"/>
    <n v="0.33"/>
    <s v="NÃO"/>
    <n v="0"/>
    <n v="0"/>
    <n v="102"/>
    <x v="13"/>
    <n v="8354.82"/>
    <n v="40"/>
    <n v="5"/>
    <n v="0"/>
    <n v="0"/>
    <n v="45"/>
    <x v="1"/>
    <x v="1"/>
    <x v="1"/>
  </r>
  <r>
    <s v="SKU-1061"/>
    <x v="60"/>
    <x v="6"/>
    <s v="L"/>
    <n v="156"/>
    <n v="102"/>
    <n v="203"/>
    <n v="85"/>
    <n v="12.65"/>
    <n v="5"/>
    <s v="Fornecedor Alfa"/>
    <s v="CD Santos"/>
    <s v="C"/>
    <d v="2026-03-21T00:00:00"/>
    <n v="1973.4"/>
    <x v="53"/>
    <n v="0.17"/>
    <s v="NÃO"/>
    <n v="0"/>
    <n v="0"/>
    <n v="0"/>
    <x v="0"/>
    <n v="0"/>
    <n v="0"/>
    <n v="5"/>
    <n v="0"/>
    <n v="0"/>
    <n v="5"/>
    <x v="0"/>
    <x v="0"/>
    <x v="0"/>
  </r>
  <r>
    <s v="SKU-1062"/>
    <x v="61"/>
    <x v="6"/>
    <s v="KG"/>
    <n v="0"/>
    <n v="43"/>
    <n v="344"/>
    <n v="22"/>
    <n v="74.37"/>
    <n v="45"/>
    <s v="Conecta Suprimentos"/>
    <s v="CD Campinas"/>
    <s v="C"/>
    <d v="2026-01-28T00:00:00"/>
    <n v="0"/>
    <x v="12"/>
    <n v="1.5"/>
    <s v="SIM"/>
    <n v="43"/>
    <n v="3197.91"/>
    <n v="0"/>
    <x v="0"/>
    <n v="3197.91"/>
    <n v="25"/>
    <n v="5"/>
    <n v="25"/>
    <n v="10"/>
    <n v="65"/>
    <x v="2"/>
    <x v="1"/>
    <x v="2"/>
  </r>
  <r>
    <s v="SKU-1063"/>
    <x v="62"/>
    <x v="6"/>
    <s v="L"/>
    <n v="59"/>
    <n v="25"/>
    <n v="74"/>
    <n v="36"/>
    <n v="1580.45"/>
    <n v="45"/>
    <s v="Eixo Forte"/>
    <s v="CD Campinas"/>
    <s v="A"/>
    <d v="2026-04-08T00:00:00"/>
    <n v="93246.55"/>
    <x v="43"/>
    <n v="1.5"/>
    <s v="NÃO"/>
    <n v="0"/>
    <n v="0"/>
    <n v="0"/>
    <x v="0"/>
    <n v="0"/>
    <n v="0"/>
    <n v="25"/>
    <n v="0"/>
    <n v="10"/>
    <n v="35"/>
    <x v="0"/>
    <x v="0"/>
    <x v="0"/>
  </r>
  <r>
    <s v="SKU-1064"/>
    <x v="63"/>
    <x v="6"/>
    <s v="L"/>
    <n v="326"/>
    <n v="41"/>
    <n v="263"/>
    <n v="195"/>
    <n v="75.099999999999994"/>
    <n v="30"/>
    <s v="Atlas Componentes"/>
    <s v="CD Campinas"/>
    <s v="C"/>
    <d v="2026-05-03T00:00:00"/>
    <n v="24482.6"/>
    <x v="54"/>
    <n v="1"/>
    <s v="NÃO"/>
    <n v="0"/>
    <n v="0"/>
    <n v="63"/>
    <x v="14"/>
    <n v="4731.2999999999902"/>
    <n v="25"/>
    <n v="5"/>
    <n v="0"/>
    <n v="10"/>
    <n v="40"/>
    <x v="1"/>
    <x v="1"/>
    <x v="1"/>
  </r>
  <r>
    <s v="SKU-1065"/>
    <x v="64"/>
    <x v="6"/>
    <s v="L"/>
    <n v="406"/>
    <n v="57"/>
    <n v="318"/>
    <n v="129"/>
    <n v="18"/>
    <n v="15"/>
    <s v="Atlas Componentes"/>
    <s v="CD Curitiba"/>
    <s v="C"/>
    <d v="2026-03-08T00:00:00"/>
    <n v="7308"/>
    <x v="55"/>
    <n v="0.5"/>
    <s v="NÃO"/>
    <n v="0"/>
    <n v="0"/>
    <n v="88"/>
    <x v="15"/>
    <n v="1584"/>
    <n v="25"/>
    <n v="5"/>
    <n v="0"/>
    <n v="5"/>
    <n v="35"/>
    <x v="1"/>
    <x v="2"/>
    <x v="5"/>
  </r>
  <r>
    <s v="SKU-1066"/>
    <x v="65"/>
    <x v="6"/>
    <s v="KG"/>
    <n v="245"/>
    <n v="122"/>
    <n v="410"/>
    <n v="138"/>
    <n v="9.5299999999999994"/>
    <n v="45"/>
    <s v="Atlas Componentes"/>
    <s v="CD Santos"/>
    <s v="C"/>
    <d v="2026-04-05T00:00:00"/>
    <n v="2334.85"/>
    <x v="56"/>
    <n v="1.5"/>
    <s v="NÃO"/>
    <n v="0"/>
    <n v="0"/>
    <n v="0"/>
    <x v="0"/>
    <n v="0"/>
    <n v="0"/>
    <n v="5"/>
    <n v="0"/>
    <n v="10"/>
    <n v="15"/>
    <x v="0"/>
    <x v="0"/>
    <x v="0"/>
  </r>
  <r>
    <s v="SKU-1067"/>
    <x v="66"/>
    <x v="6"/>
    <s v="L"/>
    <n v="77"/>
    <n v="30"/>
    <n v="148"/>
    <n v="33"/>
    <n v="205.8"/>
    <n v="20"/>
    <s v="Fornecedor Alfa"/>
    <s v="CD Campinas"/>
    <s v="B"/>
    <d v="2026-04-11T00:00:00"/>
    <n v="15846.6"/>
    <x v="57"/>
    <n v="0.67"/>
    <s v="NÃO"/>
    <n v="0"/>
    <n v="0"/>
    <n v="0"/>
    <x v="0"/>
    <n v="0"/>
    <n v="0"/>
    <n v="15"/>
    <n v="0"/>
    <n v="5"/>
    <n v="20"/>
    <x v="0"/>
    <x v="0"/>
    <x v="0"/>
  </r>
  <r>
    <s v="SKU-1068"/>
    <x v="67"/>
    <x v="6"/>
    <s v="L"/>
    <n v="13"/>
    <n v="62"/>
    <n v="260"/>
    <n v="21"/>
    <n v="25.84"/>
    <n v="7"/>
    <s v="Delta Manutenção"/>
    <s v="CD Curitiba"/>
    <s v="C"/>
    <d v="2026-06-09T00:00:00"/>
    <n v="335.92"/>
    <x v="58"/>
    <n v="0.23"/>
    <s v="NÃO"/>
    <n v="49"/>
    <n v="1266.1600000000001"/>
    <n v="0"/>
    <x v="0"/>
    <n v="1266.1600000000001"/>
    <n v="25"/>
    <n v="5"/>
    <n v="0"/>
    <n v="0"/>
    <n v="30"/>
    <x v="2"/>
    <x v="2"/>
    <x v="3"/>
  </r>
  <r>
    <s v="SKU-1069"/>
    <x v="68"/>
    <x v="6"/>
    <s v="L"/>
    <n v="0"/>
    <n v="48"/>
    <n v="160"/>
    <n v="31"/>
    <n v="337.08"/>
    <n v="15"/>
    <s v="Fornecedor Alfa"/>
    <s v="CD Santos"/>
    <s v="B"/>
    <d v="2026-05-31T00:00:00"/>
    <n v="0"/>
    <x v="12"/>
    <n v="0.5"/>
    <s v="SIM"/>
    <n v="48"/>
    <n v="16179.84"/>
    <n v="0"/>
    <x v="0"/>
    <n v="16179.84"/>
    <n v="40"/>
    <n v="15"/>
    <n v="25"/>
    <n v="5"/>
    <n v="85"/>
    <x v="2"/>
    <x v="3"/>
    <x v="4"/>
  </r>
  <r>
    <s v="SKU-1070"/>
    <x v="69"/>
    <x v="6"/>
    <s v="KG"/>
    <n v="2"/>
    <n v="23"/>
    <n v="133"/>
    <n v="11"/>
    <n v="330.29"/>
    <n v="7"/>
    <s v="Fornecedor Gama"/>
    <s v="CD Santos"/>
    <s v="B"/>
    <d v="2026-02-15T00:00:00"/>
    <n v="660.58"/>
    <x v="59"/>
    <n v="0.23"/>
    <s v="SIM"/>
    <n v="21"/>
    <n v="6936.09"/>
    <n v="0"/>
    <x v="0"/>
    <n v="6936.09"/>
    <n v="40"/>
    <n v="15"/>
    <n v="25"/>
    <n v="0"/>
    <n v="80"/>
    <x v="2"/>
    <x v="3"/>
    <x v="4"/>
  </r>
  <r>
    <s v="SKU-1071"/>
    <x v="70"/>
    <x v="7"/>
    <s v="PAR"/>
    <n v="184"/>
    <n v="90"/>
    <n v="415"/>
    <n v="134"/>
    <n v="52.52"/>
    <n v="15"/>
    <s v="Fornecedor Gama"/>
    <s v="CD Santos"/>
    <s v="C"/>
    <d v="2025-11-30T00:00:00"/>
    <n v="9663.68"/>
    <x v="51"/>
    <n v="0.5"/>
    <s v="NÃO"/>
    <n v="0"/>
    <n v="0"/>
    <n v="0"/>
    <x v="0"/>
    <n v="0"/>
    <n v="0"/>
    <n v="5"/>
    <n v="0"/>
    <n v="5"/>
    <n v="10"/>
    <x v="0"/>
    <x v="0"/>
    <x v="0"/>
  </r>
  <r>
    <s v="SKU-1072"/>
    <x v="71"/>
    <x v="7"/>
    <s v="UN"/>
    <n v="66"/>
    <n v="39"/>
    <n v="414"/>
    <n v="15"/>
    <n v="37.26"/>
    <n v="15"/>
    <s v="Delta Manutenção"/>
    <s v="CD Santos"/>
    <s v="C"/>
    <d v="2026-07-07T00:00:00"/>
    <n v="2459.16"/>
    <x v="60"/>
    <n v="0.5"/>
    <s v="NÃO"/>
    <n v="0"/>
    <n v="0"/>
    <n v="0"/>
    <x v="0"/>
    <n v="0"/>
    <n v="0"/>
    <n v="5"/>
    <n v="0"/>
    <n v="5"/>
    <n v="10"/>
    <x v="0"/>
    <x v="0"/>
    <x v="0"/>
  </r>
  <r>
    <s v="SKU-1073"/>
    <x v="72"/>
    <x v="7"/>
    <s v="PAR"/>
    <n v="373"/>
    <n v="106"/>
    <n v="502"/>
    <n v="141"/>
    <n v="38.619999999999997"/>
    <n v="45"/>
    <s v="Fornecedor Beta"/>
    <s v="CD Campinas"/>
    <s v="C"/>
    <d v="2026-05-13T00:00:00"/>
    <n v="14405.2599999999"/>
    <x v="61"/>
    <n v="1.5"/>
    <s v="NÃO"/>
    <n v="0"/>
    <n v="0"/>
    <n v="0"/>
    <x v="0"/>
    <n v="0"/>
    <n v="0"/>
    <n v="5"/>
    <n v="0"/>
    <n v="10"/>
    <n v="15"/>
    <x v="0"/>
    <x v="0"/>
    <x v="0"/>
  </r>
  <r>
    <s v="SKU-1074"/>
    <x v="73"/>
    <x v="7"/>
    <s v="UN"/>
    <n v="308"/>
    <n v="124"/>
    <n v="254"/>
    <n v="161"/>
    <n v="7.3"/>
    <n v="15"/>
    <s v="Brasil Industrial"/>
    <s v="CD Santos"/>
    <s v="C"/>
    <d v="2026-02-09T00:00:00"/>
    <n v="2248.4"/>
    <x v="62"/>
    <n v="0.5"/>
    <s v="NÃO"/>
    <n v="0"/>
    <n v="0"/>
    <n v="54"/>
    <x v="16"/>
    <n v="394.2"/>
    <n v="10"/>
    <n v="5"/>
    <n v="0"/>
    <n v="5"/>
    <n v="20"/>
    <x v="1"/>
    <x v="2"/>
    <x v="5"/>
  </r>
  <r>
    <s v="SKU-1075"/>
    <x v="74"/>
    <x v="7"/>
    <s v="PAR"/>
    <n v="63"/>
    <n v="25"/>
    <n v="65"/>
    <n v="27"/>
    <n v="266.32"/>
    <n v="3"/>
    <s v="Eixo Forte"/>
    <s v="CD Curitiba"/>
    <s v="B"/>
    <d v="2026-05-30T00:00:00"/>
    <n v="16778.16"/>
    <x v="57"/>
    <n v="0.1"/>
    <s v="NÃO"/>
    <n v="0"/>
    <n v="0"/>
    <n v="0"/>
    <x v="0"/>
    <n v="0"/>
    <n v="0"/>
    <n v="15"/>
    <n v="0"/>
    <n v="0"/>
    <n v="15"/>
    <x v="0"/>
    <x v="0"/>
    <x v="0"/>
  </r>
  <r>
    <s v="SKU-1076"/>
    <x v="75"/>
    <x v="7"/>
    <s v="UN"/>
    <n v="199"/>
    <n v="19"/>
    <n v="118"/>
    <n v="100"/>
    <n v="392.44"/>
    <n v="10"/>
    <s v="Brasil Industrial"/>
    <s v="CD Curitiba"/>
    <s v="B"/>
    <d v="2026-04-11T00:00:00"/>
    <n v="78095.56"/>
    <x v="63"/>
    <n v="0.33"/>
    <s v="NÃO"/>
    <n v="0"/>
    <n v="0"/>
    <n v="81"/>
    <x v="17"/>
    <n v="31787.64"/>
    <n v="40"/>
    <n v="15"/>
    <n v="0"/>
    <n v="0"/>
    <n v="55"/>
    <x v="1"/>
    <x v="1"/>
    <x v="1"/>
  </r>
  <r>
    <s v="SKU-1077"/>
    <x v="76"/>
    <x v="7"/>
    <s v="PAR"/>
    <n v="6"/>
    <n v="32"/>
    <n v="108"/>
    <n v="20"/>
    <n v="101.09"/>
    <n v="15"/>
    <s v="Brasil Industrial"/>
    <s v="CD Campinas"/>
    <s v="B"/>
    <d v="2026-04-07T00:00:00"/>
    <n v="606.54"/>
    <x v="64"/>
    <n v="0.5"/>
    <s v="SIM"/>
    <n v="26"/>
    <n v="2628.34"/>
    <n v="0"/>
    <x v="0"/>
    <n v="2628.34"/>
    <n v="25"/>
    <n v="15"/>
    <n v="25"/>
    <n v="5"/>
    <n v="70"/>
    <x v="2"/>
    <x v="3"/>
    <x v="4"/>
  </r>
  <r>
    <s v="SKU-1078"/>
    <x v="77"/>
    <x v="7"/>
    <s v="UN"/>
    <n v="276"/>
    <n v="150"/>
    <n v="369"/>
    <n v="113"/>
    <n v="63.58"/>
    <n v="3"/>
    <s v="Fornecedor Beta"/>
    <s v="CD Curitiba"/>
    <s v="C"/>
    <d v="2025-12-13T00:00:00"/>
    <n v="17548.0799999999"/>
    <x v="27"/>
    <n v="0.1"/>
    <s v="NÃO"/>
    <n v="0"/>
    <n v="0"/>
    <n v="0"/>
    <x v="0"/>
    <n v="0"/>
    <n v="0"/>
    <n v="5"/>
    <n v="0"/>
    <n v="0"/>
    <n v="5"/>
    <x v="0"/>
    <x v="0"/>
    <x v="0"/>
  </r>
  <r>
    <s v="SKU-1079"/>
    <x v="78"/>
    <x v="7"/>
    <s v="PAR"/>
    <n v="0"/>
    <n v="20"/>
    <n v="118"/>
    <n v="13"/>
    <n v="142.65"/>
    <n v="3"/>
    <s v="Eixo Forte"/>
    <s v="CD Curitiba"/>
    <s v="B"/>
    <d v="2026-01-14T00:00:00"/>
    <n v="0"/>
    <x v="12"/>
    <n v="0.1"/>
    <s v="SIM"/>
    <n v="20"/>
    <n v="2853"/>
    <n v="0"/>
    <x v="0"/>
    <n v="2853"/>
    <n v="25"/>
    <n v="15"/>
    <n v="25"/>
    <n v="0"/>
    <n v="65"/>
    <x v="2"/>
    <x v="1"/>
    <x v="2"/>
  </r>
  <r>
    <s v="SKU-1080"/>
    <x v="79"/>
    <x v="7"/>
    <s v="UN"/>
    <n v="115"/>
    <n v="20"/>
    <n v="91"/>
    <n v="86"/>
    <n v="2178.4899999999998"/>
    <n v="30"/>
    <s v="Fornecedor Gama"/>
    <s v="CD Santos"/>
    <s v="A"/>
    <d v="2026-02-16T00:00:00"/>
    <n v="250526.34999999899"/>
    <x v="26"/>
    <n v="1"/>
    <s v="NÃO"/>
    <n v="0"/>
    <n v="0"/>
    <n v="24"/>
    <x v="18"/>
    <n v="52283.7599999999"/>
    <n v="40"/>
    <n v="25"/>
    <n v="0"/>
    <n v="10"/>
    <n v="75"/>
    <x v="1"/>
    <x v="3"/>
    <x v="6"/>
  </r>
  <r>
    <s v="SKU-1081"/>
    <x v="80"/>
    <x v="8"/>
    <s v="UN"/>
    <n v="144"/>
    <n v="35"/>
    <n v="101"/>
    <n v="57"/>
    <n v="207.42"/>
    <n v="45"/>
    <s v="Fornecedor Beta"/>
    <s v="CD Curitiba"/>
    <s v="B"/>
    <d v="2026-05-16T00:00:00"/>
    <n v="29868.48"/>
    <x v="1"/>
    <n v="1.5"/>
    <s v="NÃO"/>
    <n v="0"/>
    <n v="0"/>
    <n v="43"/>
    <x v="19"/>
    <n v="8919.06"/>
    <n v="40"/>
    <n v="15"/>
    <n v="0"/>
    <n v="10"/>
    <n v="65"/>
    <x v="1"/>
    <x v="1"/>
    <x v="1"/>
  </r>
  <r>
    <s v="SKU-1082"/>
    <x v="81"/>
    <x v="8"/>
    <s v="UN"/>
    <n v="7"/>
    <n v="13"/>
    <n v="69"/>
    <n v="8"/>
    <n v="474.55"/>
    <n v="3"/>
    <s v="Fornecedor Gama"/>
    <s v="CD Campinas"/>
    <s v="A"/>
    <d v="2026-02-10T00:00:00"/>
    <n v="3321.85"/>
    <x v="65"/>
    <n v="0.1"/>
    <s v="NÃO"/>
    <n v="6"/>
    <n v="2847.3"/>
    <n v="0"/>
    <x v="0"/>
    <n v="2847.3"/>
    <n v="25"/>
    <n v="25"/>
    <n v="0"/>
    <n v="0"/>
    <n v="50"/>
    <x v="2"/>
    <x v="1"/>
    <x v="2"/>
  </r>
  <r>
    <s v="SKU-1083"/>
    <x v="82"/>
    <x v="8"/>
    <s v="UN"/>
    <n v="30"/>
    <n v="24"/>
    <n v="102"/>
    <n v="8"/>
    <n v="1572.02"/>
    <n v="7"/>
    <s v="Eixo Forte"/>
    <s v="CD Campinas"/>
    <s v="A"/>
    <d v="2025-12-03T00:00:00"/>
    <n v="47160.6"/>
    <x v="66"/>
    <n v="0.23"/>
    <s v="NÃO"/>
    <n v="0"/>
    <n v="0"/>
    <n v="0"/>
    <x v="0"/>
    <n v="0"/>
    <n v="0"/>
    <n v="25"/>
    <n v="0"/>
    <n v="0"/>
    <n v="25"/>
    <x v="0"/>
    <x v="0"/>
    <x v="0"/>
  </r>
  <r>
    <s v="SKU-1084"/>
    <x v="83"/>
    <x v="8"/>
    <s v="UN"/>
    <n v="155"/>
    <n v="33"/>
    <n v="435"/>
    <n v="89"/>
    <n v="44.65"/>
    <n v="15"/>
    <s v="Atlas Componentes"/>
    <s v="CD Curitiba"/>
    <s v="C"/>
    <d v="2026-03-09T00:00:00"/>
    <n v="6920.75"/>
    <x v="67"/>
    <n v="0.5"/>
    <s v="NÃO"/>
    <n v="0"/>
    <n v="0"/>
    <n v="0"/>
    <x v="0"/>
    <n v="0"/>
    <n v="0"/>
    <n v="5"/>
    <n v="0"/>
    <n v="5"/>
    <n v="10"/>
    <x v="0"/>
    <x v="0"/>
    <x v="0"/>
  </r>
  <r>
    <s v="SKU-1085"/>
    <x v="84"/>
    <x v="8"/>
    <s v="UN"/>
    <n v="220"/>
    <n v="22"/>
    <n v="180"/>
    <n v="98"/>
    <n v="132.13"/>
    <n v="15"/>
    <s v="Eixo Forte"/>
    <s v="CD Campinas"/>
    <s v="B"/>
    <d v="2026-03-20T00:00:00"/>
    <n v="29068.6"/>
    <x v="68"/>
    <n v="0.5"/>
    <s v="NÃO"/>
    <n v="0"/>
    <n v="0"/>
    <n v="40"/>
    <x v="20"/>
    <n v="5285.2"/>
    <n v="40"/>
    <n v="15"/>
    <n v="0"/>
    <n v="5"/>
    <n v="60"/>
    <x v="1"/>
    <x v="1"/>
    <x v="1"/>
  </r>
  <r>
    <s v="SKU-1086"/>
    <x v="85"/>
    <x v="8"/>
    <s v="UN"/>
    <n v="257"/>
    <n v="61"/>
    <n v="374"/>
    <n v="67"/>
    <n v="88.26"/>
    <n v="7"/>
    <s v="Brasil Industrial"/>
    <s v="CD Campinas"/>
    <s v="C"/>
    <d v="2025-12-19T00:00:00"/>
    <n v="22682.82"/>
    <x v="69"/>
    <n v="0.23"/>
    <s v="NÃO"/>
    <n v="0"/>
    <n v="0"/>
    <n v="0"/>
    <x v="0"/>
    <n v="0"/>
    <n v="0"/>
    <n v="5"/>
    <n v="0"/>
    <n v="0"/>
    <n v="5"/>
    <x v="0"/>
    <x v="0"/>
    <x v="0"/>
  </r>
  <r>
    <s v="SKU-1087"/>
    <x v="86"/>
    <x v="8"/>
    <s v="UN"/>
    <n v="74"/>
    <n v="73"/>
    <n v="412"/>
    <n v="23"/>
    <n v="77.19"/>
    <n v="15"/>
    <s v="Fornecedor Gama"/>
    <s v="CD Santos"/>
    <s v="C"/>
    <d v="2025-12-26T00:00:00"/>
    <n v="5712.0599999999904"/>
    <x v="70"/>
    <n v="0.5"/>
    <s v="NÃO"/>
    <n v="0"/>
    <n v="0"/>
    <n v="0"/>
    <x v="0"/>
    <n v="0"/>
    <n v="0"/>
    <n v="5"/>
    <n v="0"/>
    <n v="5"/>
    <n v="10"/>
    <x v="0"/>
    <x v="0"/>
    <x v="0"/>
  </r>
  <r>
    <s v="SKU-1088"/>
    <x v="87"/>
    <x v="8"/>
    <s v="UN"/>
    <n v="118"/>
    <n v="36"/>
    <n v="215"/>
    <n v="79"/>
    <n v="238.58"/>
    <n v="10"/>
    <s v="Fornecedor Beta"/>
    <s v="CD Santos"/>
    <s v="B"/>
    <d v="2026-03-04T00:00:00"/>
    <n v="28152.44"/>
    <x v="71"/>
    <n v="0.33"/>
    <s v="NÃO"/>
    <n v="0"/>
    <n v="0"/>
    <n v="0"/>
    <x v="0"/>
    <n v="0"/>
    <n v="0"/>
    <n v="15"/>
    <n v="0"/>
    <n v="0"/>
    <n v="15"/>
    <x v="0"/>
    <x v="0"/>
    <x v="0"/>
  </r>
  <r>
    <s v="SKU-1089"/>
    <x v="88"/>
    <x v="8"/>
    <s v="UN"/>
    <n v="588"/>
    <n v="70"/>
    <n v="392"/>
    <n v="224"/>
    <n v="38.15"/>
    <n v="7"/>
    <s v="Atlas Componentes"/>
    <s v="CD Santos"/>
    <s v="C"/>
    <d v="2026-03-24T00:00:00"/>
    <n v="22432.2"/>
    <x v="72"/>
    <n v="0.23"/>
    <s v="NÃO"/>
    <n v="0"/>
    <n v="0"/>
    <n v="196"/>
    <x v="21"/>
    <n v="7477.4"/>
    <n v="40"/>
    <n v="5"/>
    <n v="0"/>
    <n v="0"/>
    <n v="45"/>
    <x v="1"/>
    <x v="1"/>
    <x v="1"/>
  </r>
  <r>
    <s v="SKU-1090"/>
    <x v="89"/>
    <x v="8"/>
    <s v="UN"/>
    <n v="385"/>
    <n v="141"/>
    <n v="272"/>
    <n v="80"/>
    <n v="53.94"/>
    <n v="45"/>
    <s v="Conecta Suprimentos"/>
    <s v="CD Campinas"/>
    <s v="C"/>
    <d v="2026-07-25T00:00:00"/>
    <n v="20766.8999999999"/>
    <x v="73"/>
    <n v="1.5"/>
    <s v="NÃO"/>
    <n v="0"/>
    <n v="0"/>
    <n v="113"/>
    <x v="22"/>
    <n v="6095.2199999999903"/>
    <n v="40"/>
    <n v="5"/>
    <n v="0"/>
    <n v="10"/>
    <n v="55"/>
    <x v="1"/>
    <x v="1"/>
    <x v="1"/>
  </r>
  <r>
    <s v="SKU-1091"/>
    <x v="90"/>
    <x v="9"/>
    <s v="UN"/>
    <n v="495"/>
    <n v="39"/>
    <n v="359"/>
    <n v="174"/>
    <n v="87.36"/>
    <n v="30"/>
    <s v="Brasil Industrial"/>
    <s v="CD Campinas"/>
    <s v="C"/>
    <d v="2026-02-12T00:00:00"/>
    <n v="43243.199999999997"/>
    <x v="74"/>
    <n v="1"/>
    <s v="NÃO"/>
    <n v="0"/>
    <n v="0"/>
    <n v="136"/>
    <x v="23"/>
    <n v="11880.96"/>
    <n v="40"/>
    <n v="5"/>
    <n v="0"/>
    <n v="10"/>
    <n v="55"/>
    <x v="1"/>
    <x v="1"/>
    <x v="1"/>
  </r>
  <r>
    <s v="SKU-1092"/>
    <x v="91"/>
    <x v="9"/>
    <s v="KG"/>
    <n v="305"/>
    <n v="78"/>
    <n v="320"/>
    <n v="184"/>
    <n v="77.62"/>
    <n v="3"/>
    <s v="Brasil Industrial"/>
    <s v="CD Santos"/>
    <s v="C"/>
    <d v="2026-02-20T00:00:00"/>
    <n v="23674.1"/>
    <x v="75"/>
    <n v="0.1"/>
    <s v="NÃO"/>
    <n v="0"/>
    <n v="0"/>
    <n v="0"/>
    <x v="0"/>
    <n v="0"/>
    <n v="0"/>
    <n v="5"/>
    <n v="0"/>
    <n v="0"/>
    <n v="5"/>
    <x v="0"/>
    <x v="0"/>
    <x v="0"/>
  </r>
  <r>
    <s v="SKU-1093"/>
    <x v="92"/>
    <x v="9"/>
    <s v="UN"/>
    <n v="71"/>
    <n v="59"/>
    <n v="185"/>
    <n v="43"/>
    <n v="83.04"/>
    <n v="5"/>
    <s v="Conecta Suprimentos"/>
    <s v="CD Curitiba"/>
    <s v="C"/>
    <d v="2026-04-06T00:00:00"/>
    <n v="5895.84"/>
    <x v="76"/>
    <n v="0.17"/>
    <s v="NÃO"/>
    <n v="0"/>
    <n v="0"/>
    <n v="0"/>
    <x v="0"/>
    <n v="0"/>
    <n v="0"/>
    <n v="5"/>
    <n v="0"/>
    <n v="0"/>
    <n v="5"/>
    <x v="0"/>
    <x v="0"/>
    <x v="0"/>
  </r>
  <r>
    <s v="SKU-1094"/>
    <x v="93"/>
    <x v="9"/>
    <s v="UN"/>
    <n v="58"/>
    <n v="35"/>
    <n v="89"/>
    <n v="23"/>
    <n v="51.87"/>
    <n v="10"/>
    <s v="Fornecedor Beta"/>
    <s v="CD Curitiba"/>
    <s v="B"/>
    <d v="2026-03-15T00:00:00"/>
    <n v="3008.46"/>
    <x v="77"/>
    <n v="0.33"/>
    <s v="NÃO"/>
    <n v="0"/>
    <n v="0"/>
    <n v="0"/>
    <x v="0"/>
    <n v="0"/>
    <n v="0"/>
    <n v="15"/>
    <n v="0"/>
    <n v="0"/>
    <n v="15"/>
    <x v="0"/>
    <x v="0"/>
    <x v="0"/>
  </r>
  <r>
    <s v="SKU-1095"/>
    <x v="94"/>
    <x v="9"/>
    <s v="UN"/>
    <n v="100"/>
    <n v="52"/>
    <n v="172"/>
    <n v="52"/>
    <n v="17.850000000000001"/>
    <n v="10"/>
    <s v="Conecta Suprimentos"/>
    <s v="CD Santos"/>
    <s v="C"/>
    <d v="2026-03-23T00:00:00"/>
    <n v="1785"/>
    <x v="78"/>
    <n v="0.33"/>
    <s v="NÃO"/>
    <n v="0"/>
    <n v="0"/>
    <n v="0"/>
    <x v="0"/>
    <n v="0"/>
    <n v="0"/>
    <n v="5"/>
    <n v="0"/>
    <n v="0"/>
    <n v="5"/>
    <x v="0"/>
    <x v="0"/>
    <x v="0"/>
  </r>
  <r>
    <s v="SKU-1096"/>
    <x v="95"/>
    <x v="9"/>
    <s v="KG"/>
    <n v="103"/>
    <n v="31"/>
    <n v="73"/>
    <n v="71"/>
    <n v="144.13"/>
    <n v="7"/>
    <s v="Fornecedor Gama"/>
    <s v="CD Campinas"/>
    <s v="B"/>
    <d v="2026-07-10T00:00:00"/>
    <n v="14845.39"/>
    <x v="79"/>
    <n v="0.23"/>
    <s v="NÃO"/>
    <n v="0"/>
    <n v="0"/>
    <n v="30"/>
    <x v="24"/>
    <n v="4323.8999999999996"/>
    <n v="25"/>
    <n v="15"/>
    <n v="0"/>
    <n v="0"/>
    <n v="40"/>
    <x v="1"/>
    <x v="1"/>
    <x v="1"/>
  </r>
  <r>
    <s v="SKU-1097"/>
    <x v="96"/>
    <x v="9"/>
    <s v="UN"/>
    <n v="516"/>
    <n v="84"/>
    <n v="517"/>
    <n v="170"/>
    <n v="28.33"/>
    <n v="30"/>
    <s v="Fornecedor Gama"/>
    <s v="CD Santos"/>
    <s v="C"/>
    <d v="2025-12-22T00:00:00"/>
    <n v="14618.279999999901"/>
    <x v="80"/>
    <n v="1"/>
    <s v="NÃO"/>
    <n v="0"/>
    <n v="0"/>
    <n v="0"/>
    <x v="0"/>
    <n v="0"/>
    <n v="0"/>
    <n v="5"/>
    <n v="0"/>
    <n v="10"/>
    <n v="15"/>
    <x v="0"/>
    <x v="0"/>
    <x v="0"/>
  </r>
  <r>
    <s v="SKU-1098"/>
    <x v="97"/>
    <x v="9"/>
    <s v="UN"/>
    <n v="0"/>
    <n v="51"/>
    <n v="166"/>
    <n v="16"/>
    <n v="274.49"/>
    <n v="30"/>
    <s v="Atlas Componentes"/>
    <s v="CD Curitiba"/>
    <s v="B"/>
    <d v="2026-05-19T00:00:00"/>
    <n v="0"/>
    <x v="12"/>
    <n v="1"/>
    <s v="SIM"/>
    <n v="51"/>
    <n v="13998.99"/>
    <n v="0"/>
    <x v="0"/>
    <n v="13998.99"/>
    <n v="40"/>
    <n v="15"/>
    <n v="25"/>
    <n v="10"/>
    <n v="90"/>
    <x v="2"/>
    <x v="3"/>
    <x v="4"/>
  </r>
  <r>
    <s v="SKU-1099"/>
    <x v="98"/>
    <x v="9"/>
    <s v="UN"/>
    <n v="573"/>
    <n v="36"/>
    <n v="426"/>
    <n v="352"/>
    <n v="70.489999999999995"/>
    <n v="10"/>
    <s v="Fornecedor Alfa"/>
    <s v="CD Santos"/>
    <s v="C"/>
    <d v="2026-02-23T00:00:00"/>
    <n v="40390.769999999997"/>
    <x v="81"/>
    <n v="0.33"/>
    <s v="NÃO"/>
    <n v="0"/>
    <n v="0"/>
    <n v="147"/>
    <x v="25"/>
    <n v="10362.029999999901"/>
    <n v="40"/>
    <n v="5"/>
    <n v="0"/>
    <n v="0"/>
    <n v="45"/>
    <x v="1"/>
    <x v="1"/>
    <x v="1"/>
  </r>
  <r>
    <s v="SKU-1100"/>
    <x v="99"/>
    <x v="9"/>
    <s v="KG"/>
    <n v="914"/>
    <n v="116"/>
    <n v="565"/>
    <n v="596"/>
    <n v="56.64"/>
    <n v="5"/>
    <s v="Atlas Componentes"/>
    <s v="CD Campinas"/>
    <s v="C"/>
    <d v="2025-12-09T00:00:00"/>
    <n v="51768.959999999999"/>
    <x v="82"/>
    <n v="0.17"/>
    <s v="NÃO"/>
    <n v="0"/>
    <n v="0"/>
    <n v="349"/>
    <x v="26"/>
    <n v="19767.36"/>
    <n v="40"/>
    <n v="5"/>
    <n v="0"/>
    <n v="0"/>
    <n v="45"/>
    <x v="1"/>
    <x v="1"/>
    <x v="1"/>
  </r>
  <r>
    <m/>
    <x v="100"/>
    <x v="10"/>
    <m/>
    <m/>
    <m/>
    <m/>
    <m/>
    <m/>
    <m/>
    <m/>
    <m/>
    <m/>
    <m/>
    <m/>
    <x v="83"/>
    <m/>
    <m/>
    <m/>
    <m/>
    <m/>
    <x v="27"/>
    <m/>
    <m/>
    <m/>
    <m/>
    <m/>
    <m/>
    <x v="3"/>
    <x v="4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1156D-E1F7-46EF-864A-F12F6E8C433C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33" firstHeaderRow="0" firstDataRow="1" firstDataCol="1" rowPageCount="1" colPageCount="1"/>
  <pivotFields count="31">
    <pivotField showAll="0"/>
    <pivotField axis="axisRow" showAll="0" sortType="descending">
      <items count="102">
        <item x="57"/>
        <item x="53"/>
        <item x="87"/>
        <item x="83"/>
        <item x="16"/>
        <item x="12"/>
        <item x="47"/>
        <item x="43"/>
        <item x="80"/>
        <item x="88"/>
        <item x="84"/>
        <item x="27"/>
        <item x="23"/>
        <item x="90"/>
        <item x="98"/>
        <item x="94"/>
        <item x="77"/>
        <item x="73"/>
        <item x="86"/>
        <item x="82"/>
        <item x="35"/>
        <item x="31"/>
        <item x="39"/>
        <item x="45"/>
        <item x="41"/>
        <item x="49"/>
        <item x="36"/>
        <item x="32"/>
        <item x="20"/>
        <item x="28"/>
        <item x="24"/>
        <item x="67"/>
        <item x="63"/>
        <item x="85"/>
        <item x="81"/>
        <item x="89"/>
        <item x="25"/>
        <item x="21"/>
        <item x="29"/>
        <item x="95"/>
        <item x="91"/>
        <item x="99"/>
        <item x="96"/>
        <item x="92"/>
        <item x="65"/>
        <item x="61"/>
        <item x="69"/>
        <item x="56"/>
        <item x="52"/>
        <item x="70"/>
        <item x="78"/>
        <item x="74"/>
        <item x="7"/>
        <item x="3"/>
        <item x="40"/>
        <item x="48"/>
        <item x="44"/>
        <item x="37"/>
        <item x="33"/>
        <item x="50"/>
        <item x="58"/>
        <item x="54"/>
        <item x="55"/>
        <item x="51"/>
        <item x="59"/>
        <item x="75"/>
        <item x="71"/>
        <item x="79"/>
        <item x="60"/>
        <item x="68"/>
        <item x="64"/>
        <item x="66"/>
        <item x="62"/>
        <item x="97"/>
        <item x="93"/>
        <item x="17"/>
        <item x="13"/>
        <item x="10"/>
        <item x="18"/>
        <item x="14"/>
        <item x="15"/>
        <item x="11"/>
        <item x="19"/>
        <item x="76"/>
        <item x="72"/>
        <item x="5"/>
        <item x="1"/>
        <item x="9"/>
        <item x="6"/>
        <item x="2"/>
        <item x="0"/>
        <item x="8"/>
        <item x="4"/>
        <item x="26"/>
        <item x="22"/>
        <item x="46"/>
        <item x="42"/>
        <item x="30"/>
        <item x="38"/>
        <item x="34"/>
        <item x="10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2"/>
        <item h="1" x="0"/>
        <item h="1" x="1"/>
        <item h="1" x="3"/>
        <item t="default"/>
      </items>
    </pivotField>
    <pivotField showAll="0">
      <items count="6">
        <item x="3"/>
        <item x="2"/>
        <item x="1"/>
        <item x="0"/>
        <item x="4"/>
        <item t="default"/>
      </items>
    </pivotField>
    <pivotField axis="axisRow" showAll="0" sortType="ascending">
      <items count="9">
        <item x="4"/>
        <item x="6"/>
        <item x="2"/>
        <item x="1"/>
        <item x="3"/>
        <item x="5"/>
        <item x="0"/>
        <item x="7"/>
        <item t="default"/>
      </items>
    </pivotField>
  </pivotFields>
  <rowFields count="2">
    <field x="30"/>
    <field x="1"/>
  </rowFields>
  <rowItems count="30">
    <i>
      <x/>
    </i>
    <i r="1">
      <x v="69"/>
    </i>
    <i r="1">
      <x v="73"/>
    </i>
    <i r="1">
      <x v="6"/>
    </i>
    <i r="1">
      <x v="94"/>
    </i>
    <i r="1">
      <x v="46"/>
    </i>
    <i r="1">
      <x v="99"/>
    </i>
    <i r="1">
      <x v="83"/>
    </i>
    <i>
      <x v="2"/>
    </i>
    <i r="1">
      <x v="12"/>
    </i>
    <i r="1">
      <x v="58"/>
    </i>
    <i r="1">
      <x v="75"/>
    </i>
    <i r="1">
      <x v="45"/>
    </i>
    <i r="1">
      <x v="56"/>
    </i>
    <i r="1">
      <x v="50"/>
    </i>
    <i r="1">
      <x v="34"/>
    </i>
    <i r="1">
      <x v="91"/>
    </i>
    <i r="1">
      <x v="24"/>
    </i>
    <i r="1">
      <x v="5"/>
    </i>
    <i r="1">
      <x v="93"/>
    </i>
    <i>
      <x v="4"/>
    </i>
    <i r="1">
      <x/>
    </i>
    <i r="1">
      <x v="31"/>
    </i>
    <i r="1">
      <x v="98"/>
    </i>
    <i r="1">
      <x v="28"/>
    </i>
    <i r="1">
      <x v="37"/>
    </i>
    <i r="1">
      <x v="77"/>
    </i>
    <i r="1">
      <x v="61"/>
    </i>
    <i r="1">
      <x v="36"/>
    </i>
    <i t="grand">
      <x/>
    </i>
  </rowItems>
  <colFields count="1">
    <field x="-2"/>
  </colFields>
  <colItems count="2">
    <i>
      <x/>
    </i>
    <i i="1">
      <x v="1"/>
    </i>
  </colItems>
  <pageFields count="1">
    <pageField fld="28" hier="-1"/>
  </pageFields>
  <dataFields count="2">
    <dataField name="Soma de quantidade_repor" fld="18" baseField="0" baseItem="0"/>
    <dataField name="Soma de valor_reposicao" fld="19" baseField="1" baseItem="69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30E9F-AFCD-427C-A7A3-50CEB8AC064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33" firstHeaderRow="0" firstDataRow="1" firstDataCol="1" rowPageCount="1" colPageCount="1"/>
  <pivotFields count="31">
    <pivotField showAll="0"/>
    <pivotField axis="axisRow" showAll="0">
      <items count="102">
        <item x="57"/>
        <item x="53"/>
        <item x="87"/>
        <item x="83"/>
        <item x="16"/>
        <item x="12"/>
        <item x="47"/>
        <item x="43"/>
        <item x="80"/>
        <item x="88"/>
        <item x="84"/>
        <item x="27"/>
        <item x="23"/>
        <item x="90"/>
        <item x="98"/>
        <item x="94"/>
        <item x="77"/>
        <item x="73"/>
        <item x="86"/>
        <item x="82"/>
        <item x="35"/>
        <item x="31"/>
        <item x="39"/>
        <item x="45"/>
        <item x="41"/>
        <item x="49"/>
        <item x="36"/>
        <item x="32"/>
        <item x="20"/>
        <item x="28"/>
        <item x="24"/>
        <item x="67"/>
        <item x="63"/>
        <item x="85"/>
        <item x="81"/>
        <item x="89"/>
        <item x="25"/>
        <item x="21"/>
        <item x="29"/>
        <item x="95"/>
        <item x="91"/>
        <item x="99"/>
        <item x="96"/>
        <item x="92"/>
        <item x="65"/>
        <item x="61"/>
        <item x="69"/>
        <item x="56"/>
        <item x="52"/>
        <item x="70"/>
        <item x="78"/>
        <item x="74"/>
        <item x="7"/>
        <item x="3"/>
        <item x="40"/>
        <item x="48"/>
        <item x="44"/>
        <item x="37"/>
        <item x="33"/>
        <item x="50"/>
        <item x="58"/>
        <item x="54"/>
        <item x="55"/>
        <item x="51"/>
        <item x="59"/>
        <item x="75"/>
        <item x="71"/>
        <item x="79"/>
        <item x="60"/>
        <item x="68"/>
        <item x="64"/>
        <item x="66"/>
        <item x="62"/>
        <item x="97"/>
        <item x="93"/>
        <item x="17"/>
        <item x="13"/>
        <item x="10"/>
        <item x="18"/>
        <item x="14"/>
        <item x="15"/>
        <item x="11"/>
        <item x="19"/>
        <item x="76"/>
        <item x="72"/>
        <item x="5"/>
        <item x="1"/>
        <item x="9"/>
        <item x="6"/>
        <item x="2"/>
        <item x="0"/>
        <item x="8"/>
        <item x="4"/>
        <item x="26"/>
        <item x="22"/>
        <item x="46"/>
        <item x="42"/>
        <item x="30"/>
        <item x="38"/>
        <item x="34"/>
        <item x="1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29">
        <item x="0"/>
        <item x="16"/>
        <item x="4"/>
        <item x="15"/>
        <item x="5"/>
        <item x="7"/>
        <item x="12"/>
        <item x="24"/>
        <item x="14"/>
        <item x="20"/>
        <item x="22"/>
        <item x="10"/>
        <item x="21"/>
        <item x="8"/>
        <item x="3"/>
        <item x="13"/>
        <item x="19"/>
        <item x="6"/>
        <item x="25"/>
        <item x="23"/>
        <item x="11"/>
        <item x="26"/>
        <item x="9"/>
        <item x="2"/>
        <item x="17"/>
        <item x="18"/>
        <item x="1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2"/>
        <item h="1" x="0"/>
        <item x="1"/>
        <item h="1" x="3"/>
        <item t="default"/>
      </items>
    </pivotField>
    <pivotField showAll="0">
      <items count="6">
        <item x="3"/>
        <item x="2"/>
        <item x="1"/>
        <item x="0"/>
        <item x="4"/>
        <item t="default"/>
      </items>
    </pivotField>
    <pivotField axis="axisRow" showAll="0" sortType="ascending">
      <items count="9">
        <item x="4"/>
        <item x="6"/>
        <item x="2"/>
        <item x="1"/>
        <item x="3"/>
        <item x="5"/>
        <item x="0"/>
        <item x="7"/>
        <item t="default"/>
      </items>
    </pivotField>
  </pivotFields>
  <rowFields count="2">
    <field x="30"/>
    <field x="1"/>
  </rowFields>
  <rowItems count="30">
    <i>
      <x v="1"/>
    </i>
    <i r="1">
      <x v="67"/>
    </i>
    <i>
      <x v="3"/>
    </i>
    <i r="1">
      <x v="1"/>
    </i>
    <i r="1">
      <x v="8"/>
    </i>
    <i r="1">
      <x v="9"/>
    </i>
    <i r="1">
      <x v="10"/>
    </i>
    <i r="1">
      <x v="13"/>
    </i>
    <i r="1">
      <x v="14"/>
    </i>
    <i r="1">
      <x v="20"/>
    </i>
    <i r="1">
      <x v="30"/>
    </i>
    <i r="1">
      <x v="32"/>
    </i>
    <i r="1">
      <x v="35"/>
    </i>
    <i r="1">
      <x v="39"/>
    </i>
    <i r="1">
      <x v="41"/>
    </i>
    <i r="1">
      <x v="48"/>
    </i>
    <i r="1">
      <x v="53"/>
    </i>
    <i r="1">
      <x v="55"/>
    </i>
    <i r="1">
      <x v="62"/>
    </i>
    <i r="1">
      <x v="63"/>
    </i>
    <i r="1">
      <x v="64"/>
    </i>
    <i r="1">
      <x v="65"/>
    </i>
    <i r="1">
      <x v="87"/>
    </i>
    <i>
      <x v="5"/>
    </i>
    <i r="1">
      <x v="17"/>
    </i>
    <i r="1">
      <x v="27"/>
    </i>
    <i r="1">
      <x v="38"/>
    </i>
    <i r="1">
      <x v="60"/>
    </i>
    <i r="1">
      <x v="70"/>
    </i>
    <i t="grand">
      <x/>
    </i>
  </rowItems>
  <colFields count="1">
    <field x="-2"/>
  </colFields>
  <colItems count="2">
    <i>
      <x/>
    </i>
    <i i="1">
      <x v="1"/>
    </i>
  </colItems>
  <pageFields count="1">
    <pageField fld="28" hier="-1"/>
  </pageFields>
  <dataFields count="2">
    <dataField name="Soma de quantidade_excesso" fld="20" baseField="1" baseItem="8" numFmtId="3"/>
    <dataField name="Soma de valor_excesso" fld="21" baseField="30" baseItem="3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DC382-E7D8-4319-9D12-965B50F7B4B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14" firstHeaderRow="1" firstDataRow="1" firstDataCol="1" rowPageCount="1" colPageCount="1"/>
  <pivotFields count="31">
    <pivotField showAll="0"/>
    <pivotField showAll="0" sortType="descending">
      <items count="102">
        <item x="57"/>
        <item x="53"/>
        <item x="87"/>
        <item x="83"/>
        <item x="16"/>
        <item x="12"/>
        <item x="47"/>
        <item x="43"/>
        <item x="80"/>
        <item x="88"/>
        <item x="84"/>
        <item x="27"/>
        <item x="23"/>
        <item x="90"/>
        <item x="98"/>
        <item x="94"/>
        <item x="77"/>
        <item x="73"/>
        <item x="86"/>
        <item x="82"/>
        <item x="35"/>
        <item x="31"/>
        <item x="39"/>
        <item x="45"/>
        <item x="41"/>
        <item x="49"/>
        <item x="36"/>
        <item x="32"/>
        <item x="20"/>
        <item x="28"/>
        <item x="24"/>
        <item x="67"/>
        <item x="63"/>
        <item x="85"/>
        <item x="81"/>
        <item x="89"/>
        <item x="25"/>
        <item x="21"/>
        <item x="29"/>
        <item x="95"/>
        <item x="91"/>
        <item x="99"/>
        <item x="96"/>
        <item x="92"/>
        <item x="65"/>
        <item x="61"/>
        <item x="69"/>
        <item x="56"/>
        <item x="52"/>
        <item x="70"/>
        <item x="78"/>
        <item x="74"/>
        <item x="7"/>
        <item x="3"/>
        <item x="40"/>
        <item x="48"/>
        <item x="44"/>
        <item x="37"/>
        <item x="33"/>
        <item x="50"/>
        <item x="58"/>
        <item x="54"/>
        <item x="55"/>
        <item x="51"/>
        <item x="59"/>
        <item x="75"/>
        <item x="71"/>
        <item x="79"/>
        <item x="60"/>
        <item x="68"/>
        <item x="64"/>
        <item x="66"/>
        <item x="62"/>
        <item x="97"/>
        <item x="93"/>
        <item x="17"/>
        <item x="13"/>
        <item x="10"/>
        <item x="18"/>
        <item x="14"/>
        <item x="15"/>
        <item x="11"/>
        <item x="19"/>
        <item x="76"/>
        <item x="72"/>
        <item x="5"/>
        <item x="1"/>
        <item x="9"/>
        <item x="6"/>
        <item x="2"/>
        <item x="0"/>
        <item x="8"/>
        <item x="4"/>
        <item x="26"/>
        <item x="22"/>
        <item x="46"/>
        <item x="42"/>
        <item x="30"/>
        <item x="38"/>
        <item x="34"/>
        <item x="1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2">
        <item x="2"/>
        <item x="9"/>
        <item x="7"/>
        <item x="8"/>
        <item x="1"/>
        <item x="4"/>
        <item x="6"/>
        <item x="5"/>
        <item x="3"/>
        <item x="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9">
        <item x="4"/>
        <item x="6"/>
        <item x="2"/>
        <item x="1"/>
        <item x="3"/>
        <item x="5"/>
        <item x="0"/>
        <item h="1" x="7"/>
        <item t="default"/>
      </items>
    </pivotField>
  </pivotFields>
  <rowFields count="1">
    <field x="2"/>
  </rowFields>
  <rowItems count="11">
    <i>
      <x v="9"/>
    </i>
    <i>
      <x v="2"/>
    </i>
    <i>
      <x v="7"/>
    </i>
    <i>
      <x v="4"/>
    </i>
    <i>
      <x v="3"/>
    </i>
    <i>
      <x v="1"/>
    </i>
    <i>
      <x v="5"/>
    </i>
    <i>
      <x v="6"/>
    </i>
    <i>
      <x v="8"/>
    </i>
    <i>
      <x/>
    </i>
    <i t="grand">
      <x/>
    </i>
  </rowItems>
  <colItems count="1">
    <i/>
  </colItems>
  <pageFields count="1">
    <pageField fld="30" hier="-1"/>
  </pageFields>
  <dataFields count="1">
    <dataField name="Soma de valor_estoque" fld="14" baseField="2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4ADE-5B1A-4EB1-BC0C-D460EFB461C6}">
  <dimension ref="A1:AE101"/>
  <sheetViews>
    <sheetView workbookViewId="0">
      <selection sqref="A1:XFD1048576"/>
    </sheetView>
  </sheetViews>
  <sheetFormatPr defaultRowHeight="15" x14ac:dyDescent="0.25"/>
  <cols>
    <col min="2" max="2" width="40.5703125" bestFit="1" customWidth="1"/>
    <col min="3" max="3" width="12.42578125" bestFit="1" customWidth="1"/>
    <col min="4" max="4" width="16.140625" bestFit="1" customWidth="1"/>
    <col min="5" max="5" width="13.85546875" bestFit="1" customWidth="1"/>
    <col min="6" max="6" width="16.28515625" bestFit="1" customWidth="1"/>
    <col min="7" max="7" width="16.5703125" bestFit="1" customWidth="1"/>
    <col min="8" max="8" width="23.5703125" bestFit="1" customWidth="1"/>
    <col min="9" max="9" width="13.85546875" bestFit="1" customWidth="1"/>
    <col min="10" max="10" width="14.7109375" bestFit="1" customWidth="1"/>
    <col min="11" max="11" width="20.140625" bestFit="1" customWidth="1"/>
    <col min="12" max="12" width="12.42578125" bestFit="1" customWidth="1"/>
    <col min="13" max="13" width="10.28515625" bestFit="1" customWidth="1"/>
    <col min="14" max="14" width="26.28515625" bestFit="1" customWidth="1"/>
    <col min="15" max="15" width="13.85546875" bestFit="1" customWidth="1"/>
    <col min="16" max="16" width="16.42578125" bestFit="1" customWidth="1"/>
    <col min="17" max="17" width="16.85546875" bestFit="1" customWidth="1"/>
    <col min="18" max="18" width="12.7109375" bestFit="1" customWidth="1"/>
    <col min="19" max="19" width="17.28515625" bestFit="1" customWidth="1"/>
    <col min="20" max="20" width="15.140625" bestFit="1" customWidth="1"/>
    <col min="21" max="21" width="19.42578125" bestFit="1" customWidth="1"/>
    <col min="22" max="22" width="13.5703125" bestFit="1" customWidth="1"/>
    <col min="23" max="23" width="10.42578125" bestFit="1" customWidth="1"/>
    <col min="24" max="24" width="15.85546875" bestFit="1" customWidth="1"/>
    <col min="25" max="25" width="16.140625" bestFit="1" customWidth="1"/>
    <col min="26" max="26" width="18.7109375" bestFit="1" customWidth="1"/>
    <col min="27" max="27" width="15.85546875" bestFit="1" customWidth="1"/>
    <col min="28" max="28" width="16.140625" bestFit="1" customWidth="1"/>
    <col min="29" max="29" width="18.42578125" bestFit="1" customWidth="1"/>
    <col min="30" max="30" width="10.28515625" bestFit="1" customWidth="1"/>
    <col min="31" max="31" width="34.5703125" bestFit="1" customWidth="1"/>
  </cols>
  <sheetData>
    <row r="1" spans="1:3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>
        <v>253</v>
      </c>
      <c r="F2">
        <v>65</v>
      </c>
      <c r="G2">
        <v>270</v>
      </c>
      <c r="H2">
        <v>53</v>
      </c>
      <c r="I2">
        <v>4.2</v>
      </c>
      <c r="J2">
        <v>5</v>
      </c>
      <c r="K2" t="s">
        <v>35</v>
      </c>
      <c r="L2" t="s">
        <v>36</v>
      </c>
      <c r="M2" t="s">
        <v>37</v>
      </c>
      <c r="N2" s="1">
        <v>46080</v>
      </c>
      <c r="O2">
        <v>1062.5999999999999</v>
      </c>
      <c r="P2">
        <v>4.7699999999999996</v>
      </c>
      <c r="Q2">
        <v>0.17</v>
      </c>
      <c r="R2" t="s">
        <v>38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</v>
      </c>
      <c r="Z2">
        <v>0</v>
      </c>
      <c r="AA2">
        <v>0</v>
      </c>
      <c r="AB2">
        <v>5</v>
      </c>
      <c r="AC2" t="s">
        <v>39</v>
      </c>
      <c r="AD2" t="s">
        <v>39</v>
      </c>
      <c r="AE2" t="s">
        <v>40</v>
      </c>
    </row>
    <row r="3" spans="1:31" x14ac:dyDescent="0.25">
      <c r="A3" t="s">
        <v>41</v>
      </c>
      <c r="B3" t="s">
        <v>42</v>
      </c>
      <c r="C3" t="s">
        <v>33</v>
      </c>
      <c r="D3" t="s">
        <v>34</v>
      </c>
      <c r="E3">
        <v>38</v>
      </c>
      <c r="F3">
        <v>21</v>
      </c>
      <c r="G3">
        <v>39</v>
      </c>
      <c r="H3">
        <v>15</v>
      </c>
      <c r="I3">
        <v>807.53</v>
      </c>
      <c r="J3">
        <v>45</v>
      </c>
      <c r="K3" t="s">
        <v>43</v>
      </c>
      <c r="L3" t="s">
        <v>36</v>
      </c>
      <c r="M3" t="s">
        <v>44</v>
      </c>
      <c r="N3" s="1">
        <v>46081</v>
      </c>
      <c r="O3">
        <v>30686.14</v>
      </c>
      <c r="P3">
        <v>2.5299999999999998</v>
      </c>
      <c r="Q3">
        <v>1.5</v>
      </c>
      <c r="R3" t="s">
        <v>38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25</v>
      </c>
      <c r="Z3">
        <v>0</v>
      </c>
      <c r="AA3">
        <v>10</v>
      </c>
      <c r="AB3">
        <v>35</v>
      </c>
      <c r="AC3" t="s">
        <v>39</v>
      </c>
      <c r="AD3" t="s">
        <v>39</v>
      </c>
      <c r="AE3" t="s">
        <v>40</v>
      </c>
    </row>
    <row r="4" spans="1:31" x14ac:dyDescent="0.25">
      <c r="A4" t="s">
        <v>45</v>
      </c>
      <c r="B4" t="s">
        <v>46</v>
      </c>
      <c r="C4" t="s">
        <v>33</v>
      </c>
      <c r="D4" t="s">
        <v>34</v>
      </c>
      <c r="E4">
        <v>139</v>
      </c>
      <c r="F4">
        <v>84</v>
      </c>
      <c r="G4">
        <v>338</v>
      </c>
      <c r="H4">
        <v>100</v>
      </c>
      <c r="I4">
        <v>16.05</v>
      </c>
      <c r="J4">
        <v>20</v>
      </c>
      <c r="K4" t="s">
        <v>47</v>
      </c>
      <c r="L4" t="s">
        <v>48</v>
      </c>
      <c r="M4" t="s">
        <v>37</v>
      </c>
      <c r="N4" s="1">
        <v>46205</v>
      </c>
      <c r="O4">
        <v>2230.9499999999998</v>
      </c>
      <c r="P4">
        <v>1.39</v>
      </c>
      <c r="Q4">
        <v>0.67</v>
      </c>
      <c r="R4" t="s">
        <v>38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</v>
      </c>
      <c r="Z4">
        <v>0</v>
      </c>
      <c r="AA4">
        <v>5</v>
      </c>
      <c r="AB4">
        <v>10</v>
      </c>
      <c r="AC4" t="s">
        <v>39</v>
      </c>
      <c r="AD4" t="s">
        <v>39</v>
      </c>
      <c r="AE4" t="s">
        <v>40</v>
      </c>
    </row>
    <row r="5" spans="1:31" x14ac:dyDescent="0.25">
      <c r="A5" t="s">
        <v>49</v>
      </c>
      <c r="B5" t="s">
        <v>50</v>
      </c>
      <c r="C5" t="s">
        <v>33</v>
      </c>
      <c r="D5" t="s">
        <v>34</v>
      </c>
      <c r="E5">
        <v>119</v>
      </c>
      <c r="F5">
        <v>24</v>
      </c>
      <c r="G5">
        <v>72</v>
      </c>
      <c r="H5">
        <v>50</v>
      </c>
      <c r="I5">
        <v>2411.11</v>
      </c>
      <c r="J5">
        <v>5</v>
      </c>
      <c r="K5" t="s">
        <v>35</v>
      </c>
      <c r="L5" t="s">
        <v>36</v>
      </c>
      <c r="M5" t="s">
        <v>44</v>
      </c>
      <c r="N5" s="1">
        <v>45995</v>
      </c>
      <c r="O5">
        <v>286922.09000000003</v>
      </c>
      <c r="P5">
        <v>2.38</v>
      </c>
      <c r="Q5">
        <v>0.17</v>
      </c>
      <c r="R5" t="s">
        <v>38</v>
      </c>
      <c r="S5">
        <v>0</v>
      </c>
      <c r="T5">
        <v>0</v>
      </c>
      <c r="U5">
        <v>47</v>
      </c>
      <c r="V5">
        <v>113322.17</v>
      </c>
      <c r="W5">
        <v>113322.17</v>
      </c>
      <c r="X5">
        <v>40</v>
      </c>
      <c r="Y5">
        <v>25</v>
      </c>
      <c r="Z5">
        <v>0</v>
      </c>
      <c r="AA5">
        <v>0</v>
      </c>
      <c r="AB5">
        <v>65</v>
      </c>
      <c r="AC5" t="s">
        <v>51</v>
      </c>
      <c r="AD5" t="s">
        <v>52</v>
      </c>
      <c r="AE5" t="s">
        <v>53</v>
      </c>
    </row>
    <row r="6" spans="1:31" x14ac:dyDescent="0.25">
      <c r="A6" t="s">
        <v>54</v>
      </c>
      <c r="B6" t="s">
        <v>55</v>
      </c>
      <c r="C6" t="s">
        <v>33</v>
      </c>
      <c r="D6" t="s">
        <v>34</v>
      </c>
      <c r="E6">
        <v>144</v>
      </c>
      <c r="F6">
        <v>109</v>
      </c>
      <c r="G6">
        <v>374</v>
      </c>
      <c r="H6">
        <v>25</v>
      </c>
      <c r="I6">
        <v>74.989999999999995</v>
      </c>
      <c r="J6">
        <v>10</v>
      </c>
      <c r="K6" t="s">
        <v>43</v>
      </c>
      <c r="L6" t="s">
        <v>36</v>
      </c>
      <c r="M6" t="s">
        <v>37</v>
      </c>
      <c r="N6" s="1">
        <v>46034</v>
      </c>
      <c r="O6">
        <v>10798.56</v>
      </c>
      <c r="P6">
        <v>5.76</v>
      </c>
      <c r="Q6">
        <v>0.33</v>
      </c>
      <c r="R6" t="s">
        <v>38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</v>
      </c>
      <c r="Z6">
        <v>0</v>
      </c>
      <c r="AA6">
        <v>0</v>
      </c>
      <c r="AB6">
        <v>5</v>
      </c>
      <c r="AC6" t="s">
        <v>39</v>
      </c>
      <c r="AD6" t="s">
        <v>39</v>
      </c>
      <c r="AE6" t="s">
        <v>40</v>
      </c>
    </row>
    <row r="7" spans="1:31" x14ac:dyDescent="0.25">
      <c r="A7" t="s">
        <v>56</v>
      </c>
      <c r="B7" t="s">
        <v>57</v>
      </c>
      <c r="C7" t="s">
        <v>33</v>
      </c>
      <c r="D7" t="s">
        <v>34</v>
      </c>
      <c r="E7">
        <v>291</v>
      </c>
      <c r="F7">
        <v>78</v>
      </c>
      <c r="G7">
        <v>300</v>
      </c>
      <c r="H7">
        <v>107</v>
      </c>
      <c r="I7">
        <v>78.25</v>
      </c>
      <c r="J7">
        <v>20</v>
      </c>
      <c r="K7" t="s">
        <v>58</v>
      </c>
      <c r="L7" t="s">
        <v>59</v>
      </c>
      <c r="M7" t="s">
        <v>37</v>
      </c>
      <c r="N7" s="1">
        <v>46141</v>
      </c>
      <c r="O7">
        <v>22770.75</v>
      </c>
      <c r="P7">
        <v>2.72</v>
      </c>
      <c r="Q7">
        <v>0.67</v>
      </c>
      <c r="R7" t="s">
        <v>38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</v>
      </c>
      <c r="Z7">
        <v>0</v>
      </c>
      <c r="AA7">
        <v>5</v>
      </c>
      <c r="AB7">
        <v>10</v>
      </c>
      <c r="AC7" t="s">
        <v>39</v>
      </c>
      <c r="AD7" t="s">
        <v>39</v>
      </c>
      <c r="AE7" t="s">
        <v>40</v>
      </c>
    </row>
    <row r="8" spans="1:31" x14ac:dyDescent="0.25">
      <c r="A8" t="s">
        <v>60</v>
      </c>
      <c r="B8" t="s">
        <v>61</v>
      </c>
      <c r="C8" t="s">
        <v>33</v>
      </c>
      <c r="D8" t="s">
        <v>34</v>
      </c>
      <c r="E8">
        <v>66</v>
      </c>
      <c r="F8">
        <v>56</v>
      </c>
      <c r="G8">
        <v>114</v>
      </c>
      <c r="H8">
        <v>31</v>
      </c>
      <c r="I8">
        <v>424.03</v>
      </c>
      <c r="J8">
        <v>10</v>
      </c>
      <c r="K8" t="s">
        <v>62</v>
      </c>
      <c r="L8" t="s">
        <v>48</v>
      </c>
      <c r="M8" t="s">
        <v>63</v>
      </c>
      <c r="N8" s="1">
        <v>46190</v>
      </c>
      <c r="O8">
        <v>27985.98</v>
      </c>
      <c r="P8">
        <v>2.13</v>
      </c>
      <c r="Q8">
        <v>0.33</v>
      </c>
      <c r="R8" t="s">
        <v>38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15</v>
      </c>
      <c r="Z8">
        <v>0</v>
      </c>
      <c r="AA8">
        <v>0</v>
      </c>
      <c r="AB8">
        <v>15</v>
      </c>
      <c r="AC8" t="s">
        <v>39</v>
      </c>
      <c r="AD8" t="s">
        <v>39</v>
      </c>
      <c r="AE8" t="s">
        <v>40</v>
      </c>
    </row>
    <row r="9" spans="1:31" x14ac:dyDescent="0.25">
      <c r="A9" t="s">
        <v>64</v>
      </c>
      <c r="B9" t="s">
        <v>65</v>
      </c>
      <c r="C9" t="s">
        <v>33</v>
      </c>
      <c r="D9" t="s">
        <v>34</v>
      </c>
      <c r="E9">
        <v>66</v>
      </c>
      <c r="F9">
        <v>59</v>
      </c>
      <c r="G9">
        <v>155</v>
      </c>
      <c r="H9">
        <v>18</v>
      </c>
      <c r="I9">
        <v>419.41</v>
      </c>
      <c r="J9">
        <v>3</v>
      </c>
      <c r="K9" t="s">
        <v>66</v>
      </c>
      <c r="L9" t="s">
        <v>48</v>
      </c>
      <c r="M9" t="s">
        <v>63</v>
      </c>
      <c r="N9" s="1">
        <v>46025</v>
      </c>
      <c r="O9">
        <v>27681.06</v>
      </c>
      <c r="P9">
        <v>3.67</v>
      </c>
      <c r="Q9">
        <v>0.1</v>
      </c>
      <c r="R9" t="s">
        <v>38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15</v>
      </c>
      <c r="Z9">
        <v>0</v>
      </c>
      <c r="AA9">
        <v>0</v>
      </c>
      <c r="AB9">
        <v>15</v>
      </c>
      <c r="AC9" t="s">
        <v>39</v>
      </c>
      <c r="AD9" t="s">
        <v>39</v>
      </c>
      <c r="AE9" t="s">
        <v>40</v>
      </c>
    </row>
    <row r="10" spans="1:31" x14ac:dyDescent="0.25">
      <c r="A10" t="s">
        <v>67</v>
      </c>
      <c r="B10" t="s">
        <v>68</v>
      </c>
      <c r="C10" t="s">
        <v>33</v>
      </c>
      <c r="D10" t="s">
        <v>34</v>
      </c>
      <c r="E10">
        <v>32</v>
      </c>
      <c r="F10">
        <v>51</v>
      </c>
      <c r="G10">
        <v>171</v>
      </c>
      <c r="H10">
        <v>19</v>
      </c>
      <c r="I10">
        <v>126.5</v>
      </c>
      <c r="J10">
        <v>45</v>
      </c>
      <c r="K10" t="s">
        <v>43</v>
      </c>
      <c r="L10" t="s">
        <v>36</v>
      </c>
      <c r="M10" t="s">
        <v>63</v>
      </c>
      <c r="N10" s="1">
        <v>46195</v>
      </c>
      <c r="O10">
        <v>4048</v>
      </c>
      <c r="P10">
        <v>1.68</v>
      </c>
      <c r="Q10">
        <v>1.5</v>
      </c>
      <c r="R10" t="s">
        <v>38</v>
      </c>
      <c r="S10">
        <v>19</v>
      </c>
      <c r="T10">
        <v>2403.5</v>
      </c>
      <c r="U10">
        <v>0</v>
      </c>
      <c r="V10">
        <v>0</v>
      </c>
      <c r="W10">
        <v>2403.5</v>
      </c>
      <c r="X10">
        <v>25</v>
      </c>
      <c r="Y10">
        <v>15</v>
      </c>
      <c r="Z10">
        <v>0</v>
      </c>
      <c r="AA10">
        <v>10</v>
      </c>
      <c r="AB10">
        <v>50</v>
      </c>
      <c r="AC10" t="s">
        <v>69</v>
      </c>
      <c r="AD10" t="s">
        <v>52</v>
      </c>
      <c r="AE10" t="s">
        <v>70</v>
      </c>
    </row>
    <row r="11" spans="1:31" x14ac:dyDescent="0.25">
      <c r="A11" t="s">
        <v>71</v>
      </c>
      <c r="B11" t="s">
        <v>72</v>
      </c>
      <c r="C11" t="s">
        <v>33</v>
      </c>
      <c r="D11" t="s">
        <v>34</v>
      </c>
      <c r="E11">
        <v>283</v>
      </c>
      <c r="F11">
        <v>31</v>
      </c>
      <c r="G11">
        <v>180</v>
      </c>
      <c r="H11">
        <v>103</v>
      </c>
      <c r="I11">
        <v>270.16000000000003</v>
      </c>
      <c r="J11">
        <v>7</v>
      </c>
      <c r="K11" t="s">
        <v>62</v>
      </c>
      <c r="L11" t="s">
        <v>36</v>
      </c>
      <c r="M11" t="s">
        <v>63</v>
      </c>
      <c r="N11" s="1">
        <v>46101</v>
      </c>
      <c r="O11">
        <v>76455.28</v>
      </c>
      <c r="P11">
        <v>2.75</v>
      </c>
      <c r="Q11">
        <v>0.23</v>
      </c>
      <c r="R11" t="s">
        <v>38</v>
      </c>
      <c r="S11">
        <v>0</v>
      </c>
      <c r="T11">
        <v>0</v>
      </c>
      <c r="U11">
        <v>103</v>
      </c>
      <c r="V11">
        <v>27826.48</v>
      </c>
      <c r="W11">
        <v>27826.48</v>
      </c>
      <c r="X11">
        <v>40</v>
      </c>
      <c r="Y11">
        <v>15</v>
      </c>
      <c r="Z11">
        <v>0</v>
      </c>
      <c r="AA11">
        <v>0</v>
      </c>
      <c r="AB11">
        <v>55</v>
      </c>
      <c r="AC11" t="s">
        <v>51</v>
      </c>
      <c r="AD11" t="s">
        <v>52</v>
      </c>
      <c r="AE11" t="s">
        <v>53</v>
      </c>
    </row>
    <row r="12" spans="1:31" x14ac:dyDescent="0.25">
      <c r="A12" t="s">
        <v>73</v>
      </c>
      <c r="B12" t="s">
        <v>74</v>
      </c>
      <c r="C12" t="s">
        <v>75</v>
      </c>
      <c r="D12" t="s">
        <v>34</v>
      </c>
      <c r="E12">
        <v>44</v>
      </c>
      <c r="F12">
        <v>49</v>
      </c>
      <c r="G12">
        <v>450</v>
      </c>
      <c r="H12">
        <v>19</v>
      </c>
      <c r="I12">
        <v>77.78</v>
      </c>
      <c r="J12">
        <v>5</v>
      </c>
      <c r="K12" t="s">
        <v>35</v>
      </c>
      <c r="L12" t="s">
        <v>59</v>
      </c>
      <c r="M12" t="s">
        <v>37</v>
      </c>
      <c r="N12" s="1">
        <v>46133</v>
      </c>
      <c r="O12">
        <v>3422.32</v>
      </c>
      <c r="P12">
        <v>2.3199999999999998</v>
      </c>
      <c r="Q12">
        <v>0.17</v>
      </c>
      <c r="R12" t="s">
        <v>38</v>
      </c>
      <c r="S12">
        <v>5</v>
      </c>
      <c r="T12">
        <v>388.9</v>
      </c>
      <c r="U12">
        <v>0</v>
      </c>
      <c r="V12">
        <v>0</v>
      </c>
      <c r="W12">
        <v>388.9</v>
      </c>
      <c r="X12">
        <v>10</v>
      </c>
      <c r="Y12">
        <v>5</v>
      </c>
      <c r="Z12">
        <v>0</v>
      </c>
      <c r="AA12">
        <v>0</v>
      </c>
      <c r="AB12">
        <v>15</v>
      </c>
      <c r="AC12" t="s">
        <v>69</v>
      </c>
      <c r="AD12" t="s">
        <v>76</v>
      </c>
      <c r="AE12" t="s">
        <v>77</v>
      </c>
    </row>
    <row r="13" spans="1:31" x14ac:dyDescent="0.25">
      <c r="A13" t="s">
        <v>78</v>
      </c>
      <c r="B13" t="s">
        <v>79</v>
      </c>
      <c r="C13" t="s">
        <v>75</v>
      </c>
      <c r="D13" t="s">
        <v>34</v>
      </c>
      <c r="E13">
        <v>114</v>
      </c>
      <c r="F13">
        <v>100</v>
      </c>
      <c r="G13">
        <v>185</v>
      </c>
      <c r="H13">
        <v>63</v>
      </c>
      <c r="I13">
        <v>48.56</v>
      </c>
      <c r="J13">
        <v>15</v>
      </c>
      <c r="K13" t="s">
        <v>66</v>
      </c>
      <c r="L13" t="s">
        <v>36</v>
      </c>
      <c r="M13" t="s">
        <v>37</v>
      </c>
      <c r="N13" s="1">
        <v>46035</v>
      </c>
      <c r="O13">
        <v>5535.84</v>
      </c>
      <c r="P13">
        <v>1.81</v>
      </c>
      <c r="Q13">
        <v>0.5</v>
      </c>
      <c r="R13" t="s">
        <v>38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</v>
      </c>
      <c r="Z13">
        <v>0</v>
      </c>
      <c r="AA13">
        <v>5</v>
      </c>
      <c r="AB13">
        <v>10</v>
      </c>
      <c r="AC13" t="s">
        <v>39</v>
      </c>
      <c r="AD13" t="s">
        <v>39</v>
      </c>
      <c r="AE13" t="s">
        <v>40</v>
      </c>
    </row>
    <row r="14" spans="1:31" x14ac:dyDescent="0.25">
      <c r="A14" t="s">
        <v>80</v>
      </c>
      <c r="B14" t="s">
        <v>81</v>
      </c>
      <c r="C14" t="s">
        <v>75</v>
      </c>
      <c r="D14" t="s">
        <v>34</v>
      </c>
      <c r="E14">
        <v>0</v>
      </c>
      <c r="F14">
        <v>15</v>
      </c>
      <c r="G14">
        <v>122</v>
      </c>
      <c r="H14">
        <v>9</v>
      </c>
      <c r="I14">
        <v>104.84</v>
      </c>
      <c r="J14">
        <v>5</v>
      </c>
      <c r="K14" t="s">
        <v>43</v>
      </c>
      <c r="L14" t="s">
        <v>59</v>
      </c>
      <c r="M14" t="s">
        <v>63</v>
      </c>
      <c r="N14" s="1">
        <v>46009</v>
      </c>
      <c r="O14">
        <v>0</v>
      </c>
      <c r="P14">
        <v>0</v>
      </c>
      <c r="Q14">
        <v>0.17</v>
      </c>
      <c r="R14" t="s">
        <v>82</v>
      </c>
      <c r="S14">
        <v>15</v>
      </c>
      <c r="T14">
        <v>1572.6</v>
      </c>
      <c r="U14">
        <v>0</v>
      </c>
      <c r="V14">
        <v>0</v>
      </c>
      <c r="W14">
        <v>1572.6</v>
      </c>
      <c r="X14">
        <v>25</v>
      </c>
      <c r="Y14">
        <v>15</v>
      </c>
      <c r="Z14">
        <v>25</v>
      </c>
      <c r="AA14">
        <v>0</v>
      </c>
      <c r="AB14">
        <v>65</v>
      </c>
      <c r="AC14" t="s">
        <v>69</v>
      </c>
      <c r="AD14" t="s">
        <v>52</v>
      </c>
      <c r="AE14" t="s">
        <v>70</v>
      </c>
    </row>
    <row r="15" spans="1:31" x14ac:dyDescent="0.25">
      <c r="A15" t="s">
        <v>83</v>
      </c>
      <c r="B15" t="s">
        <v>84</v>
      </c>
      <c r="C15" t="s">
        <v>75</v>
      </c>
      <c r="D15" t="s">
        <v>34</v>
      </c>
      <c r="E15">
        <v>212</v>
      </c>
      <c r="F15">
        <v>77</v>
      </c>
      <c r="G15">
        <v>239</v>
      </c>
      <c r="H15">
        <v>148</v>
      </c>
      <c r="I15">
        <v>19.5</v>
      </c>
      <c r="J15">
        <v>20</v>
      </c>
      <c r="K15" t="s">
        <v>85</v>
      </c>
      <c r="L15" t="s">
        <v>36</v>
      </c>
      <c r="M15" t="s">
        <v>37</v>
      </c>
      <c r="N15" s="1">
        <v>46106</v>
      </c>
      <c r="O15">
        <v>4134</v>
      </c>
      <c r="P15">
        <v>1.43</v>
      </c>
      <c r="Q15">
        <v>0.67</v>
      </c>
      <c r="R15" t="s">
        <v>38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</v>
      </c>
      <c r="Z15">
        <v>0</v>
      </c>
      <c r="AA15">
        <v>5</v>
      </c>
      <c r="AB15">
        <v>10</v>
      </c>
      <c r="AC15" t="s">
        <v>39</v>
      </c>
      <c r="AD15" t="s">
        <v>39</v>
      </c>
      <c r="AE15" t="s">
        <v>40</v>
      </c>
    </row>
    <row r="16" spans="1:31" x14ac:dyDescent="0.25">
      <c r="A16" t="s">
        <v>86</v>
      </c>
      <c r="B16" t="s">
        <v>87</v>
      </c>
      <c r="C16" t="s">
        <v>75</v>
      </c>
      <c r="D16" t="s">
        <v>34</v>
      </c>
      <c r="E16">
        <v>197</v>
      </c>
      <c r="F16">
        <v>136</v>
      </c>
      <c r="G16">
        <v>373</v>
      </c>
      <c r="H16">
        <v>133</v>
      </c>
      <c r="I16">
        <v>79.33</v>
      </c>
      <c r="J16">
        <v>5</v>
      </c>
      <c r="K16" t="s">
        <v>62</v>
      </c>
      <c r="L16" t="s">
        <v>36</v>
      </c>
      <c r="M16" t="s">
        <v>37</v>
      </c>
      <c r="N16" s="1">
        <v>46210</v>
      </c>
      <c r="O16">
        <v>15628.01</v>
      </c>
      <c r="P16">
        <v>1.48</v>
      </c>
      <c r="Q16">
        <v>0.17</v>
      </c>
      <c r="R16" t="s">
        <v>38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</v>
      </c>
      <c r="Z16">
        <v>0</v>
      </c>
      <c r="AA16">
        <v>0</v>
      </c>
      <c r="AB16">
        <v>5</v>
      </c>
      <c r="AC16" t="s">
        <v>39</v>
      </c>
      <c r="AD16" t="s">
        <v>39</v>
      </c>
      <c r="AE16" t="s">
        <v>40</v>
      </c>
    </row>
    <row r="17" spans="1:31" x14ac:dyDescent="0.25">
      <c r="A17" t="s">
        <v>88</v>
      </c>
      <c r="B17" t="s">
        <v>89</v>
      </c>
      <c r="C17" t="s">
        <v>75</v>
      </c>
      <c r="D17" t="s">
        <v>34</v>
      </c>
      <c r="E17">
        <v>186</v>
      </c>
      <c r="F17">
        <v>46</v>
      </c>
      <c r="G17">
        <v>191</v>
      </c>
      <c r="H17">
        <v>46</v>
      </c>
      <c r="I17">
        <v>48.88</v>
      </c>
      <c r="J17">
        <v>30</v>
      </c>
      <c r="K17" t="s">
        <v>58</v>
      </c>
      <c r="L17" t="s">
        <v>59</v>
      </c>
      <c r="M17" t="s">
        <v>37</v>
      </c>
      <c r="N17" s="1">
        <v>46177</v>
      </c>
      <c r="O17">
        <v>9091.68</v>
      </c>
      <c r="P17">
        <v>4.04</v>
      </c>
      <c r="Q17">
        <v>1</v>
      </c>
      <c r="R17" t="s">
        <v>38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</v>
      </c>
      <c r="Z17">
        <v>0</v>
      </c>
      <c r="AA17">
        <v>10</v>
      </c>
      <c r="AB17">
        <v>15</v>
      </c>
      <c r="AC17" t="s">
        <v>39</v>
      </c>
      <c r="AD17" t="s">
        <v>39</v>
      </c>
      <c r="AE17" t="s">
        <v>40</v>
      </c>
    </row>
    <row r="18" spans="1:31" x14ac:dyDescent="0.25">
      <c r="A18" t="s">
        <v>90</v>
      </c>
      <c r="B18" t="s">
        <v>91</v>
      </c>
      <c r="C18" t="s">
        <v>75</v>
      </c>
      <c r="D18" t="s">
        <v>34</v>
      </c>
      <c r="E18">
        <v>188</v>
      </c>
      <c r="F18">
        <v>56</v>
      </c>
      <c r="G18">
        <v>191</v>
      </c>
      <c r="H18">
        <v>79</v>
      </c>
      <c r="I18">
        <v>448.01</v>
      </c>
      <c r="J18">
        <v>10</v>
      </c>
      <c r="K18" t="s">
        <v>47</v>
      </c>
      <c r="L18" t="s">
        <v>48</v>
      </c>
      <c r="M18" t="s">
        <v>63</v>
      </c>
      <c r="N18" s="1">
        <v>46174</v>
      </c>
      <c r="O18">
        <v>84225.88</v>
      </c>
      <c r="P18">
        <v>2.38</v>
      </c>
      <c r="Q18">
        <v>0.33</v>
      </c>
      <c r="R18" t="s">
        <v>38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15</v>
      </c>
      <c r="Z18">
        <v>0</v>
      </c>
      <c r="AA18">
        <v>0</v>
      </c>
      <c r="AB18">
        <v>15</v>
      </c>
      <c r="AC18" t="s">
        <v>39</v>
      </c>
      <c r="AD18" t="s">
        <v>39</v>
      </c>
      <c r="AE18" t="s">
        <v>40</v>
      </c>
    </row>
    <row r="19" spans="1:31" x14ac:dyDescent="0.25">
      <c r="A19" t="s">
        <v>92</v>
      </c>
      <c r="B19" t="s">
        <v>93</v>
      </c>
      <c r="C19" t="s">
        <v>75</v>
      </c>
      <c r="D19" t="s">
        <v>34</v>
      </c>
      <c r="E19">
        <v>21</v>
      </c>
      <c r="F19">
        <v>23</v>
      </c>
      <c r="G19">
        <v>66</v>
      </c>
      <c r="H19">
        <v>4</v>
      </c>
      <c r="I19">
        <v>1662.5</v>
      </c>
      <c r="J19">
        <v>5</v>
      </c>
      <c r="K19" t="s">
        <v>85</v>
      </c>
      <c r="L19" t="s">
        <v>48</v>
      </c>
      <c r="M19" t="s">
        <v>44</v>
      </c>
      <c r="N19" s="1">
        <v>46000</v>
      </c>
      <c r="O19">
        <v>34912.5</v>
      </c>
      <c r="P19">
        <v>5.25</v>
      </c>
      <c r="Q19">
        <v>0.17</v>
      </c>
      <c r="R19" t="s">
        <v>38</v>
      </c>
      <c r="S19">
        <v>2</v>
      </c>
      <c r="T19">
        <v>3325</v>
      </c>
      <c r="U19">
        <v>0</v>
      </c>
      <c r="V19">
        <v>0</v>
      </c>
      <c r="W19">
        <v>3325</v>
      </c>
      <c r="X19">
        <v>25</v>
      </c>
      <c r="Y19">
        <v>25</v>
      </c>
      <c r="Z19">
        <v>0</v>
      </c>
      <c r="AA19">
        <v>0</v>
      </c>
      <c r="AB19">
        <v>50</v>
      </c>
      <c r="AC19" t="s">
        <v>69</v>
      </c>
      <c r="AD19" t="s">
        <v>52</v>
      </c>
      <c r="AE19" t="s">
        <v>70</v>
      </c>
    </row>
    <row r="20" spans="1:31" x14ac:dyDescent="0.25">
      <c r="A20" t="s">
        <v>94</v>
      </c>
      <c r="B20" t="s">
        <v>95</v>
      </c>
      <c r="C20" t="s">
        <v>75</v>
      </c>
      <c r="D20" t="s">
        <v>34</v>
      </c>
      <c r="E20">
        <v>56</v>
      </c>
      <c r="F20">
        <v>20</v>
      </c>
      <c r="G20">
        <v>62</v>
      </c>
      <c r="H20">
        <v>27</v>
      </c>
      <c r="I20">
        <v>856.91</v>
      </c>
      <c r="J20">
        <v>10</v>
      </c>
      <c r="K20" t="s">
        <v>62</v>
      </c>
      <c r="L20" t="s">
        <v>48</v>
      </c>
      <c r="M20" t="s">
        <v>44</v>
      </c>
      <c r="N20" s="1">
        <v>46031</v>
      </c>
      <c r="O20">
        <v>47986.96</v>
      </c>
      <c r="P20">
        <v>2.0699999999999998</v>
      </c>
      <c r="Q20">
        <v>0.33</v>
      </c>
      <c r="R20" t="s">
        <v>38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25</v>
      </c>
      <c r="Z20">
        <v>0</v>
      </c>
      <c r="AA20">
        <v>0</v>
      </c>
      <c r="AB20">
        <v>25</v>
      </c>
      <c r="AC20" t="s">
        <v>39</v>
      </c>
      <c r="AD20" t="s">
        <v>39</v>
      </c>
      <c r="AE20" t="s">
        <v>40</v>
      </c>
    </row>
    <row r="21" spans="1:31" x14ac:dyDescent="0.25">
      <c r="A21" t="s">
        <v>96</v>
      </c>
      <c r="B21" t="s">
        <v>97</v>
      </c>
      <c r="C21" t="s">
        <v>75</v>
      </c>
      <c r="D21" t="s">
        <v>34</v>
      </c>
      <c r="E21">
        <v>47</v>
      </c>
      <c r="F21">
        <v>18</v>
      </c>
      <c r="G21">
        <v>78</v>
      </c>
      <c r="H21">
        <v>31</v>
      </c>
      <c r="I21">
        <v>497.17</v>
      </c>
      <c r="J21">
        <v>3</v>
      </c>
      <c r="K21" t="s">
        <v>47</v>
      </c>
      <c r="L21" t="s">
        <v>36</v>
      </c>
      <c r="M21" t="s">
        <v>44</v>
      </c>
      <c r="N21" s="1">
        <v>46059</v>
      </c>
      <c r="O21">
        <v>23366.99</v>
      </c>
      <c r="P21">
        <v>1.52</v>
      </c>
      <c r="Q21">
        <v>0.1</v>
      </c>
      <c r="R21" t="s">
        <v>38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25</v>
      </c>
      <c r="Z21">
        <v>0</v>
      </c>
      <c r="AA21">
        <v>0</v>
      </c>
      <c r="AB21">
        <v>25</v>
      </c>
      <c r="AC21" t="s">
        <v>39</v>
      </c>
      <c r="AD21" t="s">
        <v>39</v>
      </c>
      <c r="AE21" t="s">
        <v>40</v>
      </c>
    </row>
    <row r="22" spans="1:31" x14ac:dyDescent="0.25">
      <c r="A22" t="s">
        <v>98</v>
      </c>
      <c r="B22" t="s">
        <v>99</v>
      </c>
      <c r="C22" t="s">
        <v>100</v>
      </c>
      <c r="D22" t="s">
        <v>34</v>
      </c>
      <c r="E22">
        <v>18</v>
      </c>
      <c r="F22">
        <v>21</v>
      </c>
      <c r="G22">
        <v>124</v>
      </c>
      <c r="H22">
        <v>8</v>
      </c>
      <c r="I22">
        <v>179.11</v>
      </c>
      <c r="J22">
        <v>30</v>
      </c>
      <c r="K22" t="s">
        <v>43</v>
      </c>
      <c r="L22" t="s">
        <v>48</v>
      </c>
      <c r="M22" t="s">
        <v>63</v>
      </c>
      <c r="N22" s="1">
        <v>46185</v>
      </c>
      <c r="O22">
        <v>3223.98</v>
      </c>
      <c r="P22">
        <v>2.25</v>
      </c>
      <c r="Q22">
        <v>1</v>
      </c>
      <c r="R22" t="s">
        <v>38</v>
      </c>
      <c r="S22">
        <v>3</v>
      </c>
      <c r="T22">
        <v>537.33000000000004</v>
      </c>
      <c r="U22">
        <v>0</v>
      </c>
      <c r="V22">
        <v>0</v>
      </c>
      <c r="W22">
        <v>537.33000000000004</v>
      </c>
      <c r="X22">
        <v>10</v>
      </c>
      <c r="Y22">
        <v>15</v>
      </c>
      <c r="Z22">
        <v>0</v>
      </c>
      <c r="AA22">
        <v>10</v>
      </c>
      <c r="AB22">
        <v>35</v>
      </c>
      <c r="AC22" t="s">
        <v>69</v>
      </c>
      <c r="AD22" t="s">
        <v>76</v>
      </c>
      <c r="AE22" t="s">
        <v>77</v>
      </c>
    </row>
    <row r="23" spans="1:31" x14ac:dyDescent="0.25">
      <c r="A23" t="s">
        <v>101</v>
      </c>
      <c r="B23" t="s">
        <v>102</v>
      </c>
      <c r="C23" t="s">
        <v>100</v>
      </c>
      <c r="D23" t="s">
        <v>34</v>
      </c>
      <c r="E23">
        <v>42</v>
      </c>
      <c r="F23">
        <v>43</v>
      </c>
      <c r="G23">
        <v>223</v>
      </c>
      <c r="H23">
        <v>32</v>
      </c>
      <c r="I23">
        <v>418.54</v>
      </c>
      <c r="J23">
        <v>3</v>
      </c>
      <c r="K23" t="s">
        <v>58</v>
      </c>
      <c r="L23" t="s">
        <v>36</v>
      </c>
      <c r="M23" t="s">
        <v>63</v>
      </c>
      <c r="N23" s="1">
        <v>46208</v>
      </c>
      <c r="O23">
        <v>17578.68</v>
      </c>
      <c r="P23">
        <v>1.31</v>
      </c>
      <c r="Q23">
        <v>0.1</v>
      </c>
      <c r="R23" t="s">
        <v>38</v>
      </c>
      <c r="S23">
        <v>1</v>
      </c>
      <c r="T23">
        <v>418.54</v>
      </c>
      <c r="U23">
        <v>0</v>
      </c>
      <c r="V23">
        <v>0</v>
      </c>
      <c r="W23">
        <v>418.54</v>
      </c>
      <c r="X23">
        <v>10</v>
      </c>
      <c r="Y23">
        <v>15</v>
      </c>
      <c r="Z23">
        <v>0</v>
      </c>
      <c r="AA23">
        <v>0</v>
      </c>
      <c r="AB23">
        <v>25</v>
      </c>
      <c r="AC23" t="s">
        <v>69</v>
      </c>
      <c r="AD23" t="s">
        <v>76</v>
      </c>
      <c r="AE23" t="s">
        <v>77</v>
      </c>
    </row>
    <row r="24" spans="1:31" x14ac:dyDescent="0.25">
      <c r="A24" t="s">
        <v>103</v>
      </c>
      <c r="B24" t="s">
        <v>104</v>
      </c>
      <c r="C24" t="s">
        <v>100</v>
      </c>
      <c r="D24" t="s">
        <v>34</v>
      </c>
      <c r="E24">
        <v>1</v>
      </c>
      <c r="F24">
        <v>40</v>
      </c>
      <c r="G24">
        <v>95</v>
      </c>
      <c r="H24">
        <v>29</v>
      </c>
      <c r="I24">
        <v>237.36</v>
      </c>
      <c r="J24">
        <v>15</v>
      </c>
      <c r="K24" t="s">
        <v>62</v>
      </c>
      <c r="L24" t="s">
        <v>48</v>
      </c>
      <c r="M24" t="s">
        <v>63</v>
      </c>
      <c r="N24" s="1">
        <v>45994</v>
      </c>
      <c r="O24">
        <v>237.36</v>
      </c>
      <c r="P24">
        <v>0.03</v>
      </c>
      <c r="Q24">
        <v>0.5</v>
      </c>
      <c r="R24" t="s">
        <v>82</v>
      </c>
      <c r="S24">
        <v>39</v>
      </c>
      <c r="T24">
        <v>9257.0400000000009</v>
      </c>
      <c r="U24">
        <v>0</v>
      </c>
      <c r="V24">
        <v>0</v>
      </c>
      <c r="W24">
        <v>9257.0400000000009</v>
      </c>
      <c r="X24">
        <v>40</v>
      </c>
      <c r="Y24">
        <v>15</v>
      </c>
      <c r="Z24">
        <v>25</v>
      </c>
      <c r="AA24">
        <v>5</v>
      </c>
      <c r="AB24">
        <v>85</v>
      </c>
      <c r="AC24" t="s">
        <v>69</v>
      </c>
      <c r="AD24" t="s">
        <v>105</v>
      </c>
      <c r="AE24" t="s">
        <v>106</v>
      </c>
    </row>
    <row r="25" spans="1:31" x14ac:dyDescent="0.25">
      <c r="A25" t="s">
        <v>107</v>
      </c>
      <c r="B25" t="s">
        <v>108</v>
      </c>
      <c r="C25" t="s">
        <v>100</v>
      </c>
      <c r="D25" t="s">
        <v>109</v>
      </c>
      <c r="E25">
        <v>19</v>
      </c>
      <c r="F25">
        <v>50</v>
      </c>
      <c r="G25">
        <v>214</v>
      </c>
      <c r="H25">
        <v>14</v>
      </c>
      <c r="I25">
        <v>432.5</v>
      </c>
      <c r="J25">
        <v>3</v>
      </c>
      <c r="K25" t="s">
        <v>85</v>
      </c>
      <c r="L25" t="s">
        <v>59</v>
      </c>
      <c r="M25" t="s">
        <v>63</v>
      </c>
      <c r="N25" s="1">
        <v>46083</v>
      </c>
      <c r="O25">
        <v>8217.5</v>
      </c>
      <c r="P25">
        <v>1.36</v>
      </c>
      <c r="Q25">
        <v>0.1</v>
      </c>
      <c r="R25" t="s">
        <v>38</v>
      </c>
      <c r="S25">
        <v>31</v>
      </c>
      <c r="T25">
        <v>13407.5</v>
      </c>
      <c r="U25">
        <v>0</v>
      </c>
      <c r="V25">
        <v>0</v>
      </c>
      <c r="W25">
        <v>13407.5</v>
      </c>
      <c r="X25">
        <v>40</v>
      </c>
      <c r="Y25">
        <v>15</v>
      </c>
      <c r="Z25">
        <v>0</v>
      </c>
      <c r="AA25">
        <v>0</v>
      </c>
      <c r="AB25">
        <v>55</v>
      </c>
      <c r="AC25" t="s">
        <v>69</v>
      </c>
      <c r="AD25" t="s">
        <v>52</v>
      </c>
      <c r="AE25" t="s">
        <v>70</v>
      </c>
    </row>
    <row r="26" spans="1:31" x14ac:dyDescent="0.25">
      <c r="A26" t="s">
        <v>110</v>
      </c>
      <c r="B26" t="s">
        <v>111</v>
      </c>
      <c r="C26" t="s">
        <v>100</v>
      </c>
      <c r="D26" t="s">
        <v>34</v>
      </c>
      <c r="E26">
        <v>349</v>
      </c>
      <c r="F26">
        <v>45</v>
      </c>
      <c r="G26">
        <v>213</v>
      </c>
      <c r="H26">
        <v>85</v>
      </c>
      <c r="I26">
        <v>60.56</v>
      </c>
      <c r="J26">
        <v>5</v>
      </c>
      <c r="K26" t="s">
        <v>112</v>
      </c>
      <c r="L26" t="s">
        <v>36</v>
      </c>
      <c r="M26" t="s">
        <v>63</v>
      </c>
      <c r="N26" s="1">
        <v>46014</v>
      </c>
      <c r="O26">
        <v>21135.439999999999</v>
      </c>
      <c r="P26">
        <v>4.1100000000000003</v>
      </c>
      <c r="Q26">
        <v>0.17</v>
      </c>
      <c r="R26" t="s">
        <v>38</v>
      </c>
      <c r="S26">
        <v>0</v>
      </c>
      <c r="T26">
        <v>0</v>
      </c>
      <c r="U26">
        <v>136</v>
      </c>
      <c r="V26">
        <v>8236.16</v>
      </c>
      <c r="W26">
        <v>8236.16</v>
      </c>
      <c r="X26">
        <v>40</v>
      </c>
      <c r="Y26">
        <v>15</v>
      </c>
      <c r="Z26">
        <v>0</v>
      </c>
      <c r="AA26">
        <v>0</v>
      </c>
      <c r="AB26">
        <v>55</v>
      </c>
      <c r="AC26" t="s">
        <v>51</v>
      </c>
      <c r="AD26" t="s">
        <v>52</v>
      </c>
      <c r="AE26" t="s">
        <v>53</v>
      </c>
    </row>
    <row r="27" spans="1:31" x14ac:dyDescent="0.25">
      <c r="A27" t="s">
        <v>113</v>
      </c>
      <c r="B27" t="s">
        <v>114</v>
      </c>
      <c r="C27" t="s">
        <v>100</v>
      </c>
      <c r="D27" t="s">
        <v>34</v>
      </c>
      <c r="E27">
        <v>57</v>
      </c>
      <c r="F27">
        <v>60</v>
      </c>
      <c r="G27">
        <v>346</v>
      </c>
      <c r="H27">
        <v>29</v>
      </c>
      <c r="I27">
        <v>61.42</v>
      </c>
      <c r="J27">
        <v>3</v>
      </c>
      <c r="K27" t="s">
        <v>47</v>
      </c>
      <c r="L27" t="s">
        <v>48</v>
      </c>
      <c r="M27" t="s">
        <v>37</v>
      </c>
      <c r="N27" s="1">
        <v>46073</v>
      </c>
      <c r="O27">
        <v>3500.94</v>
      </c>
      <c r="P27">
        <v>1.97</v>
      </c>
      <c r="Q27">
        <v>0.1</v>
      </c>
      <c r="R27" t="s">
        <v>38</v>
      </c>
      <c r="S27">
        <v>3</v>
      </c>
      <c r="T27">
        <v>184.26</v>
      </c>
      <c r="U27">
        <v>0</v>
      </c>
      <c r="V27">
        <v>0</v>
      </c>
      <c r="W27">
        <v>184.26</v>
      </c>
      <c r="X27">
        <v>10</v>
      </c>
      <c r="Y27">
        <v>5</v>
      </c>
      <c r="Z27">
        <v>0</v>
      </c>
      <c r="AA27">
        <v>0</v>
      </c>
      <c r="AB27">
        <v>15</v>
      </c>
      <c r="AC27" t="s">
        <v>69</v>
      </c>
      <c r="AD27" t="s">
        <v>76</v>
      </c>
      <c r="AE27" t="s">
        <v>77</v>
      </c>
    </row>
    <row r="28" spans="1:31" x14ac:dyDescent="0.25">
      <c r="A28" t="s">
        <v>115</v>
      </c>
      <c r="B28" t="s">
        <v>116</v>
      </c>
      <c r="C28" t="s">
        <v>100</v>
      </c>
      <c r="D28" t="s">
        <v>34</v>
      </c>
      <c r="E28">
        <v>41</v>
      </c>
      <c r="F28">
        <v>70</v>
      </c>
      <c r="G28">
        <v>283</v>
      </c>
      <c r="H28">
        <v>20</v>
      </c>
      <c r="I28">
        <v>51.74</v>
      </c>
      <c r="J28">
        <v>30</v>
      </c>
      <c r="K28" t="s">
        <v>43</v>
      </c>
      <c r="L28" t="s">
        <v>48</v>
      </c>
      <c r="M28" t="s">
        <v>37</v>
      </c>
      <c r="N28" s="1">
        <v>46198</v>
      </c>
      <c r="O28">
        <v>2121.34</v>
      </c>
      <c r="P28">
        <v>2.0499999999999998</v>
      </c>
      <c r="Q28">
        <v>1</v>
      </c>
      <c r="R28" t="s">
        <v>38</v>
      </c>
      <c r="S28">
        <v>29</v>
      </c>
      <c r="T28">
        <v>1500.46</v>
      </c>
      <c r="U28">
        <v>0</v>
      </c>
      <c r="V28">
        <v>0</v>
      </c>
      <c r="W28">
        <v>1500.46</v>
      </c>
      <c r="X28">
        <v>25</v>
      </c>
      <c r="Y28">
        <v>5</v>
      </c>
      <c r="Z28">
        <v>0</v>
      </c>
      <c r="AA28">
        <v>10</v>
      </c>
      <c r="AB28">
        <v>40</v>
      </c>
      <c r="AC28" t="s">
        <v>69</v>
      </c>
      <c r="AD28" t="s">
        <v>52</v>
      </c>
      <c r="AE28" t="s">
        <v>70</v>
      </c>
    </row>
    <row r="29" spans="1:31" x14ac:dyDescent="0.25">
      <c r="A29" t="s">
        <v>117</v>
      </c>
      <c r="B29" t="s">
        <v>118</v>
      </c>
      <c r="C29" t="s">
        <v>100</v>
      </c>
      <c r="D29" t="s">
        <v>109</v>
      </c>
      <c r="E29">
        <v>55</v>
      </c>
      <c r="F29">
        <v>19</v>
      </c>
      <c r="G29">
        <v>61</v>
      </c>
      <c r="H29">
        <v>41</v>
      </c>
      <c r="I29">
        <v>348.26</v>
      </c>
      <c r="J29">
        <v>5</v>
      </c>
      <c r="K29" t="s">
        <v>58</v>
      </c>
      <c r="L29" t="s">
        <v>59</v>
      </c>
      <c r="M29" t="s">
        <v>63</v>
      </c>
      <c r="N29" s="1">
        <v>46094</v>
      </c>
      <c r="O29">
        <v>19154.3</v>
      </c>
      <c r="P29">
        <v>1.34</v>
      </c>
      <c r="Q29">
        <v>0.17</v>
      </c>
      <c r="R29" t="s">
        <v>38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15</v>
      </c>
      <c r="Z29">
        <v>0</v>
      </c>
      <c r="AA29">
        <v>0</v>
      </c>
      <c r="AB29">
        <v>15</v>
      </c>
      <c r="AC29" t="s">
        <v>39</v>
      </c>
      <c r="AD29" t="s">
        <v>39</v>
      </c>
      <c r="AE29" t="s">
        <v>40</v>
      </c>
    </row>
    <row r="30" spans="1:31" x14ac:dyDescent="0.25">
      <c r="A30" t="s">
        <v>119</v>
      </c>
      <c r="B30" t="s">
        <v>120</v>
      </c>
      <c r="C30" t="s">
        <v>100</v>
      </c>
      <c r="D30" t="s">
        <v>34</v>
      </c>
      <c r="E30">
        <v>39</v>
      </c>
      <c r="F30">
        <v>19</v>
      </c>
      <c r="G30">
        <v>121</v>
      </c>
      <c r="H30">
        <v>16</v>
      </c>
      <c r="I30">
        <v>422.64</v>
      </c>
      <c r="J30">
        <v>15</v>
      </c>
      <c r="K30" t="s">
        <v>85</v>
      </c>
      <c r="L30" t="s">
        <v>59</v>
      </c>
      <c r="M30" t="s">
        <v>63</v>
      </c>
      <c r="N30" s="1">
        <v>46075</v>
      </c>
      <c r="O30">
        <v>16482.96</v>
      </c>
      <c r="P30">
        <v>2.44</v>
      </c>
      <c r="Q30">
        <v>0.5</v>
      </c>
      <c r="R30" t="s">
        <v>38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15</v>
      </c>
      <c r="Z30">
        <v>0</v>
      </c>
      <c r="AA30">
        <v>5</v>
      </c>
      <c r="AB30">
        <v>20</v>
      </c>
      <c r="AC30" t="s">
        <v>39</v>
      </c>
      <c r="AD30" t="s">
        <v>39</v>
      </c>
      <c r="AE30" t="s">
        <v>40</v>
      </c>
    </row>
    <row r="31" spans="1:31" x14ac:dyDescent="0.25">
      <c r="A31" t="s">
        <v>121</v>
      </c>
      <c r="B31" t="s">
        <v>122</v>
      </c>
      <c r="C31" t="s">
        <v>100</v>
      </c>
      <c r="D31" t="s">
        <v>34</v>
      </c>
      <c r="E31">
        <v>282</v>
      </c>
      <c r="F31">
        <v>114</v>
      </c>
      <c r="G31">
        <v>247</v>
      </c>
      <c r="H31">
        <v>87</v>
      </c>
      <c r="I31">
        <v>28.35</v>
      </c>
      <c r="J31">
        <v>5</v>
      </c>
      <c r="K31" t="s">
        <v>112</v>
      </c>
      <c r="L31" t="s">
        <v>48</v>
      </c>
      <c r="M31" t="s">
        <v>37</v>
      </c>
      <c r="N31" s="1">
        <v>46041</v>
      </c>
      <c r="O31">
        <v>7994.7</v>
      </c>
      <c r="P31">
        <v>3.24</v>
      </c>
      <c r="Q31">
        <v>0.17</v>
      </c>
      <c r="R31" t="s">
        <v>38</v>
      </c>
      <c r="S31">
        <v>0</v>
      </c>
      <c r="T31">
        <v>0</v>
      </c>
      <c r="U31">
        <v>35</v>
      </c>
      <c r="V31">
        <v>992.25</v>
      </c>
      <c r="W31">
        <v>992.25</v>
      </c>
      <c r="X31">
        <v>10</v>
      </c>
      <c r="Y31">
        <v>5</v>
      </c>
      <c r="Z31">
        <v>0</v>
      </c>
      <c r="AA31">
        <v>0</v>
      </c>
      <c r="AB31">
        <v>15</v>
      </c>
      <c r="AC31" t="s">
        <v>51</v>
      </c>
      <c r="AD31" t="s">
        <v>76</v>
      </c>
      <c r="AE31" t="s">
        <v>123</v>
      </c>
    </row>
    <row r="32" spans="1:31" x14ac:dyDescent="0.25">
      <c r="A32" t="s">
        <v>124</v>
      </c>
      <c r="B32" t="s">
        <v>125</v>
      </c>
      <c r="C32" t="s">
        <v>126</v>
      </c>
      <c r="D32" t="s">
        <v>34</v>
      </c>
      <c r="E32">
        <v>69</v>
      </c>
      <c r="F32">
        <v>36</v>
      </c>
      <c r="G32">
        <v>128</v>
      </c>
      <c r="H32">
        <v>31</v>
      </c>
      <c r="I32">
        <v>126.36</v>
      </c>
      <c r="J32">
        <v>15</v>
      </c>
      <c r="K32" t="s">
        <v>85</v>
      </c>
      <c r="L32" t="s">
        <v>36</v>
      </c>
      <c r="M32" t="s">
        <v>63</v>
      </c>
      <c r="N32" s="1">
        <v>46000</v>
      </c>
      <c r="O32">
        <v>8718.84</v>
      </c>
      <c r="P32">
        <v>2.23</v>
      </c>
      <c r="Q32">
        <v>0.5</v>
      </c>
      <c r="R32" t="s">
        <v>38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15</v>
      </c>
      <c r="Z32">
        <v>0</v>
      </c>
      <c r="AA32">
        <v>5</v>
      </c>
      <c r="AB32">
        <v>20</v>
      </c>
      <c r="AC32" t="s">
        <v>39</v>
      </c>
      <c r="AD32" t="s">
        <v>39</v>
      </c>
      <c r="AE32" t="s">
        <v>40</v>
      </c>
    </row>
    <row r="33" spans="1:31" x14ac:dyDescent="0.25">
      <c r="A33" t="s">
        <v>127</v>
      </c>
      <c r="B33" t="s">
        <v>128</v>
      </c>
      <c r="C33" t="s">
        <v>126</v>
      </c>
      <c r="D33" t="s">
        <v>34</v>
      </c>
      <c r="E33">
        <v>51</v>
      </c>
      <c r="F33">
        <v>35</v>
      </c>
      <c r="G33">
        <v>116</v>
      </c>
      <c r="H33">
        <v>27</v>
      </c>
      <c r="I33">
        <v>74.98</v>
      </c>
      <c r="J33">
        <v>15</v>
      </c>
      <c r="K33" t="s">
        <v>62</v>
      </c>
      <c r="L33" t="s">
        <v>59</v>
      </c>
      <c r="M33" t="s">
        <v>37</v>
      </c>
      <c r="N33" s="1">
        <v>46190</v>
      </c>
      <c r="O33">
        <v>3823.98</v>
      </c>
      <c r="P33">
        <v>1.89</v>
      </c>
      <c r="Q33">
        <v>0.5</v>
      </c>
      <c r="R33" t="s">
        <v>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</v>
      </c>
      <c r="Z33">
        <v>0</v>
      </c>
      <c r="AA33">
        <v>5</v>
      </c>
      <c r="AB33">
        <v>10</v>
      </c>
      <c r="AC33" t="s">
        <v>39</v>
      </c>
      <c r="AD33" t="s">
        <v>39</v>
      </c>
      <c r="AE33" t="s">
        <v>40</v>
      </c>
    </row>
    <row r="34" spans="1:31" x14ac:dyDescent="0.25">
      <c r="A34" t="s">
        <v>129</v>
      </c>
      <c r="B34" t="s">
        <v>130</v>
      </c>
      <c r="C34" t="s">
        <v>126</v>
      </c>
      <c r="D34" t="s">
        <v>34</v>
      </c>
      <c r="E34">
        <v>201</v>
      </c>
      <c r="F34">
        <v>44</v>
      </c>
      <c r="G34">
        <v>162</v>
      </c>
      <c r="H34">
        <v>95</v>
      </c>
      <c r="I34">
        <v>51.36</v>
      </c>
      <c r="J34">
        <v>20</v>
      </c>
      <c r="K34" t="s">
        <v>112</v>
      </c>
      <c r="L34" t="s">
        <v>48</v>
      </c>
      <c r="M34" t="s">
        <v>37</v>
      </c>
      <c r="N34" s="1">
        <v>46082</v>
      </c>
      <c r="O34">
        <v>10323.36</v>
      </c>
      <c r="P34">
        <v>2.12</v>
      </c>
      <c r="Q34">
        <v>0.67</v>
      </c>
      <c r="R34" t="s">
        <v>38</v>
      </c>
      <c r="S34">
        <v>0</v>
      </c>
      <c r="T34">
        <v>0</v>
      </c>
      <c r="U34">
        <v>39</v>
      </c>
      <c r="V34">
        <v>2003.04</v>
      </c>
      <c r="W34">
        <v>2003.04</v>
      </c>
      <c r="X34">
        <v>25</v>
      </c>
      <c r="Y34">
        <v>5</v>
      </c>
      <c r="Z34">
        <v>0</v>
      </c>
      <c r="AA34">
        <v>5</v>
      </c>
      <c r="AB34">
        <v>35</v>
      </c>
      <c r="AC34" t="s">
        <v>51</v>
      </c>
      <c r="AD34" t="s">
        <v>76</v>
      </c>
      <c r="AE34" t="s">
        <v>123</v>
      </c>
    </row>
    <row r="35" spans="1:31" x14ac:dyDescent="0.25">
      <c r="A35" t="s">
        <v>131</v>
      </c>
      <c r="B35" t="s">
        <v>132</v>
      </c>
      <c r="C35" t="s">
        <v>126</v>
      </c>
      <c r="D35" t="s">
        <v>109</v>
      </c>
      <c r="E35">
        <v>2</v>
      </c>
      <c r="F35">
        <v>6</v>
      </c>
      <c r="G35">
        <v>66</v>
      </c>
      <c r="H35">
        <v>3</v>
      </c>
      <c r="I35">
        <v>1036.06</v>
      </c>
      <c r="J35">
        <v>20</v>
      </c>
      <c r="K35" t="s">
        <v>35</v>
      </c>
      <c r="L35" t="s">
        <v>59</v>
      </c>
      <c r="M35" t="s">
        <v>44</v>
      </c>
      <c r="N35" s="1">
        <v>46032</v>
      </c>
      <c r="O35">
        <v>2072.12</v>
      </c>
      <c r="P35">
        <v>0.67</v>
      </c>
      <c r="Q35">
        <v>0.67</v>
      </c>
      <c r="R35" t="s">
        <v>38</v>
      </c>
      <c r="S35">
        <v>4</v>
      </c>
      <c r="T35">
        <v>4144.24</v>
      </c>
      <c r="U35">
        <v>0</v>
      </c>
      <c r="V35">
        <v>0</v>
      </c>
      <c r="W35">
        <v>4144.24</v>
      </c>
      <c r="X35">
        <v>25</v>
      </c>
      <c r="Y35">
        <v>25</v>
      </c>
      <c r="Z35">
        <v>0</v>
      </c>
      <c r="AA35">
        <v>5</v>
      </c>
      <c r="AB35">
        <v>55</v>
      </c>
      <c r="AC35" t="s">
        <v>69</v>
      </c>
      <c r="AD35" t="s">
        <v>52</v>
      </c>
      <c r="AE35" t="s">
        <v>70</v>
      </c>
    </row>
    <row r="36" spans="1:31" x14ac:dyDescent="0.25">
      <c r="A36" t="s">
        <v>133</v>
      </c>
      <c r="B36" t="s">
        <v>134</v>
      </c>
      <c r="C36" t="s">
        <v>126</v>
      </c>
      <c r="D36" t="s">
        <v>34</v>
      </c>
      <c r="E36">
        <v>0</v>
      </c>
      <c r="F36">
        <v>60</v>
      </c>
      <c r="G36">
        <v>223</v>
      </c>
      <c r="H36">
        <v>38</v>
      </c>
      <c r="I36">
        <v>83.47</v>
      </c>
      <c r="J36">
        <v>30</v>
      </c>
      <c r="K36" t="s">
        <v>112</v>
      </c>
      <c r="L36" t="s">
        <v>59</v>
      </c>
      <c r="M36" t="s">
        <v>37</v>
      </c>
      <c r="N36" s="1">
        <v>46225</v>
      </c>
      <c r="O36">
        <v>0</v>
      </c>
      <c r="P36">
        <v>0</v>
      </c>
      <c r="Q36">
        <v>1</v>
      </c>
      <c r="R36" t="s">
        <v>82</v>
      </c>
      <c r="S36">
        <v>60</v>
      </c>
      <c r="T36">
        <v>5008.2</v>
      </c>
      <c r="U36">
        <v>0</v>
      </c>
      <c r="V36">
        <v>0</v>
      </c>
      <c r="W36">
        <v>5008.2</v>
      </c>
      <c r="X36">
        <v>40</v>
      </c>
      <c r="Y36">
        <v>5</v>
      </c>
      <c r="Z36">
        <v>25</v>
      </c>
      <c r="AA36">
        <v>10</v>
      </c>
      <c r="AB36">
        <v>80</v>
      </c>
      <c r="AC36" t="s">
        <v>69</v>
      </c>
      <c r="AD36" t="s">
        <v>105</v>
      </c>
      <c r="AE36" t="s">
        <v>106</v>
      </c>
    </row>
    <row r="37" spans="1:31" x14ac:dyDescent="0.25">
      <c r="A37" t="s">
        <v>135</v>
      </c>
      <c r="B37" t="s">
        <v>136</v>
      </c>
      <c r="C37" t="s">
        <v>126</v>
      </c>
      <c r="D37" t="s">
        <v>34</v>
      </c>
      <c r="E37">
        <v>632</v>
      </c>
      <c r="F37">
        <v>82</v>
      </c>
      <c r="G37">
        <v>504</v>
      </c>
      <c r="H37">
        <v>195</v>
      </c>
      <c r="I37">
        <v>70.849999999999994</v>
      </c>
      <c r="J37">
        <v>5</v>
      </c>
      <c r="K37" t="s">
        <v>85</v>
      </c>
      <c r="L37" t="s">
        <v>48</v>
      </c>
      <c r="M37" t="s">
        <v>37</v>
      </c>
      <c r="N37" s="1">
        <v>46134</v>
      </c>
      <c r="O37">
        <v>44777.2</v>
      </c>
      <c r="P37">
        <v>3.24</v>
      </c>
      <c r="Q37">
        <v>0.17</v>
      </c>
      <c r="R37" t="s">
        <v>38</v>
      </c>
      <c r="S37">
        <v>0</v>
      </c>
      <c r="T37">
        <v>0</v>
      </c>
      <c r="U37">
        <v>128</v>
      </c>
      <c r="V37">
        <v>9068.7999999999993</v>
      </c>
      <c r="W37">
        <v>9068.7999999999993</v>
      </c>
      <c r="X37">
        <v>40</v>
      </c>
      <c r="Y37">
        <v>5</v>
      </c>
      <c r="Z37">
        <v>0</v>
      </c>
      <c r="AA37">
        <v>0</v>
      </c>
      <c r="AB37">
        <v>45</v>
      </c>
      <c r="AC37" t="s">
        <v>51</v>
      </c>
      <c r="AD37" t="s">
        <v>52</v>
      </c>
      <c r="AE37" t="s">
        <v>53</v>
      </c>
    </row>
    <row r="38" spans="1:31" x14ac:dyDescent="0.25">
      <c r="A38" t="s">
        <v>137</v>
      </c>
      <c r="B38" t="s">
        <v>138</v>
      </c>
      <c r="C38" t="s">
        <v>126</v>
      </c>
      <c r="D38" t="s">
        <v>34</v>
      </c>
      <c r="E38">
        <v>102</v>
      </c>
      <c r="F38">
        <v>44</v>
      </c>
      <c r="G38">
        <v>173</v>
      </c>
      <c r="H38">
        <v>28</v>
      </c>
      <c r="I38">
        <v>374.8</v>
      </c>
      <c r="J38">
        <v>10</v>
      </c>
      <c r="K38" t="s">
        <v>66</v>
      </c>
      <c r="L38" t="s">
        <v>48</v>
      </c>
      <c r="M38" t="s">
        <v>63</v>
      </c>
      <c r="N38" s="1">
        <v>46129</v>
      </c>
      <c r="O38">
        <v>38229.599999999999</v>
      </c>
      <c r="P38">
        <v>3.64</v>
      </c>
      <c r="Q38">
        <v>0.33</v>
      </c>
      <c r="R38" t="s">
        <v>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15</v>
      </c>
      <c r="Z38">
        <v>0</v>
      </c>
      <c r="AA38">
        <v>0</v>
      </c>
      <c r="AB38">
        <v>15</v>
      </c>
      <c r="AC38" t="s">
        <v>39</v>
      </c>
      <c r="AD38" t="s">
        <v>39</v>
      </c>
      <c r="AE38" t="s">
        <v>40</v>
      </c>
    </row>
    <row r="39" spans="1:31" x14ac:dyDescent="0.25">
      <c r="A39" t="s">
        <v>139</v>
      </c>
      <c r="B39" t="s">
        <v>140</v>
      </c>
      <c r="C39" t="s">
        <v>126</v>
      </c>
      <c r="D39" t="s">
        <v>109</v>
      </c>
      <c r="E39">
        <v>269</v>
      </c>
      <c r="F39">
        <v>65</v>
      </c>
      <c r="G39">
        <v>324</v>
      </c>
      <c r="H39">
        <v>150</v>
      </c>
      <c r="I39">
        <v>87.09</v>
      </c>
      <c r="J39">
        <v>20</v>
      </c>
      <c r="K39" t="s">
        <v>85</v>
      </c>
      <c r="L39" t="s">
        <v>36</v>
      </c>
      <c r="M39" t="s">
        <v>37</v>
      </c>
      <c r="N39" s="1">
        <v>45991</v>
      </c>
      <c r="O39">
        <v>23427.21</v>
      </c>
      <c r="P39">
        <v>1.79</v>
      </c>
      <c r="Q39">
        <v>0.67</v>
      </c>
      <c r="R39" t="s">
        <v>38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</v>
      </c>
      <c r="Z39">
        <v>0</v>
      </c>
      <c r="AA39">
        <v>5</v>
      </c>
      <c r="AB39">
        <v>10</v>
      </c>
      <c r="AC39" t="s">
        <v>39</v>
      </c>
      <c r="AD39" t="s">
        <v>39</v>
      </c>
      <c r="AE39" t="s">
        <v>40</v>
      </c>
    </row>
    <row r="40" spans="1:31" x14ac:dyDescent="0.25">
      <c r="A40" t="s">
        <v>141</v>
      </c>
      <c r="B40" t="s">
        <v>142</v>
      </c>
      <c r="C40" t="s">
        <v>126</v>
      </c>
      <c r="D40" t="s">
        <v>34</v>
      </c>
      <c r="E40">
        <v>77</v>
      </c>
      <c r="F40">
        <v>104</v>
      </c>
      <c r="G40">
        <v>319</v>
      </c>
      <c r="H40">
        <v>42</v>
      </c>
      <c r="I40">
        <v>24.99</v>
      </c>
      <c r="J40">
        <v>20</v>
      </c>
      <c r="K40" t="s">
        <v>47</v>
      </c>
      <c r="L40" t="s">
        <v>48</v>
      </c>
      <c r="M40" t="s">
        <v>37</v>
      </c>
      <c r="N40" s="1">
        <v>46120</v>
      </c>
      <c r="O40">
        <v>1924.22999999999</v>
      </c>
      <c r="P40">
        <v>1.83</v>
      </c>
      <c r="Q40">
        <v>0.67</v>
      </c>
      <c r="R40" t="s">
        <v>38</v>
      </c>
      <c r="S40">
        <v>27</v>
      </c>
      <c r="T40">
        <v>674.729999999999</v>
      </c>
      <c r="U40">
        <v>0</v>
      </c>
      <c r="V40">
        <v>0</v>
      </c>
      <c r="W40">
        <v>674.729999999999</v>
      </c>
      <c r="X40">
        <v>10</v>
      </c>
      <c r="Y40">
        <v>5</v>
      </c>
      <c r="Z40">
        <v>0</v>
      </c>
      <c r="AA40">
        <v>5</v>
      </c>
      <c r="AB40">
        <v>20</v>
      </c>
      <c r="AC40" t="s">
        <v>69</v>
      </c>
      <c r="AD40" t="s">
        <v>76</v>
      </c>
      <c r="AE40" t="s">
        <v>77</v>
      </c>
    </row>
    <row r="41" spans="1:31" x14ac:dyDescent="0.25">
      <c r="A41" t="s">
        <v>143</v>
      </c>
      <c r="B41" t="s">
        <v>144</v>
      </c>
      <c r="C41" t="s">
        <v>126</v>
      </c>
      <c r="D41" t="s">
        <v>34</v>
      </c>
      <c r="E41">
        <v>301</v>
      </c>
      <c r="F41">
        <v>35</v>
      </c>
      <c r="G41">
        <v>477</v>
      </c>
      <c r="H41">
        <v>212</v>
      </c>
      <c r="I41">
        <v>18.73</v>
      </c>
      <c r="J41">
        <v>10</v>
      </c>
      <c r="K41" t="s">
        <v>35</v>
      </c>
      <c r="L41" t="s">
        <v>36</v>
      </c>
      <c r="M41" t="s">
        <v>37</v>
      </c>
      <c r="N41" s="1">
        <v>46138</v>
      </c>
      <c r="O41">
        <v>5637.73</v>
      </c>
      <c r="P41">
        <v>1.42</v>
      </c>
      <c r="Q41">
        <v>0.33</v>
      </c>
      <c r="R41" t="s">
        <v>38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</v>
      </c>
      <c r="Z41">
        <v>0</v>
      </c>
      <c r="AA41">
        <v>0</v>
      </c>
      <c r="AB41">
        <v>5</v>
      </c>
      <c r="AC41" t="s">
        <v>39</v>
      </c>
      <c r="AD41" t="s">
        <v>39</v>
      </c>
      <c r="AE41" t="s">
        <v>40</v>
      </c>
    </row>
    <row r="42" spans="1:31" x14ac:dyDescent="0.25">
      <c r="A42" t="s">
        <v>145</v>
      </c>
      <c r="B42" t="s">
        <v>146</v>
      </c>
      <c r="C42" t="s">
        <v>147</v>
      </c>
      <c r="D42" t="s">
        <v>109</v>
      </c>
      <c r="E42">
        <v>140</v>
      </c>
      <c r="F42">
        <v>109</v>
      </c>
      <c r="G42">
        <v>349</v>
      </c>
      <c r="H42">
        <v>81</v>
      </c>
      <c r="I42">
        <v>83.03</v>
      </c>
      <c r="J42">
        <v>15</v>
      </c>
      <c r="K42" t="s">
        <v>43</v>
      </c>
      <c r="L42" t="s">
        <v>59</v>
      </c>
      <c r="M42" t="s">
        <v>37</v>
      </c>
      <c r="N42" s="1">
        <v>46102</v>
      </c>
      <c r="O42">
        <v>11624.2</v>
      </c>
      <c r="P42">
        <v>1.73</v>
      </c>
      <c r="Q42">
        <v>0.5</v>
      </c>
      <c r="R42" t="s">
        <v>38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5</v>
      </c>
      <c r="Z42">
        <v>0</v>
      </c>
      <c r="AA42">
        <v>5</v>
      </c>
      <c r="AB42">
        <v>10</v>
      </c>
      <c r="AC42" t="s">
        <v>39</v>
      </c>
      <c r="AD42" t="s">
        <v>39</v>
      </c>
      <c r="AE42" t="s">
        <v>40</v>
      </c>
    </row>
    <row r="43" spans="1:31" x14ac:dyDescent="0.25">
      <c r="A43" t="s">
        <v>148</v>
      </c>
      <c r="B43" t="s">
        <v>149</v>
      </c>
      <c r="C43" t="s">
        <v>147</v>
      </c>
      <c r="D43" t="s">
        <v>34</v>
      </c>
      <c r="E43">
        <v>25</v>
      </c>
      <c r="F43">
        <v>33</v>
      </c>
      <c r="G43">
        <v>105</v>
      </c>
      <c r="H43">
        <v>18</v>
      </c>
      <c r="I43">
        <v>204.98</v>
      </c>
      <c r="J43">
        <v>7</v>
      </c>
      <c r="K43" t="s">
        <v>43</v>
      </c>
      <c r="L43" t="s">
        <v>48</v>
      </c>
      <c r="M43" t="s">
        <v>63</v>
      </c>
      <c r="N43" s="1">
        <v>46074</v>
      </c>
      <c r="O43">
        <v>5124.5</v>
      </c>
      <c r="P43">
        <v>1.39</v>
      </c>
      <c r="Q43">
        <v>0.23</v>
      </c>
      <c r="R43" t="s">
        <v>38</v>
      </c>
      <c r="S43">
        <v>8</v>
      </c>
      <c r="T43">
        <v>1639.84</v>
      </c>
      <c r="U43">
        <v>0</v>
      </c>
      <c r="V43">
        <v>0</v>
      </c>
      <c r="W43">
        <v>1639.84</v>
      </c>
      <c r="X43">
        <v>25</v>
      </c>
      <c r="Y43">
        <v>15</v>
      </c>
      <c r="Z43">
        <v>0</v>
      </c>
      <c r="AA43">
        <v>0</v>
      </c>
      <c r="AB43">
        <v>40</v>
      </c>
      <c r="AC43" t="s">
        <v>69</v>
      </c>
      <c r="AD43" t="s">
        <v>52</v>
      </c>
      <c r="AE43" t="s">
        <v>70</v>
      </c>
    </row>
    <row r="44" spans="1:31" x14ac:dyDescent="0.25">
      <c r="A44" t="s">
        <v>150</v>
      </c>
      <c r="B44" t="s">
        <v>151</v>
      </c>
      <c r="C44" t="s">
        <v>147</v>
      </c>
      <c r="D44" t="s">
        <v>34</v>
      </c>
      <c r="E44">
        <v>214</v>
      </c>
      <c r="F44">
        <v>66</v>
      </c>
      <c r="G44">
        <v>253</v>
      </c>
      <c r="H44">
        <v>109</v>
      </c>
      <c r="I44">
        <v>2.04</v>
      </c>
      <c r="J44">
        <v>20</v>
      </c>
      <c r="K44" t="s">
        <v>62</v>
      </c>
      <c r="L44" t="s">
        <v>48</v>
      </c>
      <c r="M44" t="s">
        <v>37</v>
      </c>
      <c r="N44" s="1">
        <v>46112</v>
      </c>
      <c r="O44">
        <v>436.56</v>
      </c>
      <c r="P44">
        <v>1.96</v>
      </c>
      <c r="Q44">
        <v>0.67</v>
      </c>
      <c r="R44" t="s">
        <v>38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</v>
      </c>
      <c r="Z44">
        <v>0</v>
      </c>
      <c r="AA44">
        <v>5</v>
      </c>
      <c r="AB44">
        <v>10</v>
      </c>
      <c r="AC44" t="s">
        <v>39</v>
      </c>
      <c r="AD44" t="s">
        <v>39</v>
      </c>
      <c r="AE44" t="s">
        <v>40</v>
      </c>
    </row>
    <row r="45" spans="1:31" x14ac:dyDescent="0.25">
      <c r="A45" t="s">
        <v>152</v>
      </c>
      <c r="B45" t="s">
        <v>153</v>
      </c>
      <c r="C45" t="s">
        <v>147</v>
      </c>
      <c r="D45" t="s">
        <v>34</v>
      </c>
      <c r="E45">
        <v>203</v>
      </c>
      <c r="F45">
        <v>131</v>
      </c>
      <c r="G45">
        <v>297</v>
      </c>
      <c r="H45">
        <v>93</v>
      </c>
      <c r="I45">
        <v>46.98</v>
      </c>
      <c r="J45">
        <v>20</v>
      </c>
      <c r="K45" t="s">
        <v>58</v>
      </c>
      <c r="L45" t="s">
        <v>59</v>
      </c>
      <c r="M45" t="s">
        <v>37</v>
      </c>
      <c r="N45" s="1">
        <v>46208</v>
      </c>
      <c r="O45">
        <v>9536.9399999999896</v>
      </c>
      <c r="P45">
        <v>2.1800000000000002</v>
      </c>
      <c r="Q45">
        <v>0.67</v>
      </c>
      <c r="R45" t="s">
        <v>38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</v>
      </c>
      <c r="Z45">
        <v>0</v>
      </c>
      <c r="AA45">
        <v>5</v>
      </c>
      <c r="AB45">
        <v>10</v>
      </c>
      <c r="AC45" t="s">
        <v>39</v>
      </c>
      <c r="AD45" t="s">
        <v>39</v>
      </c>
      <c r="AE45" t="s">
        <v>40</v>
      </c>
    </row>
    <row r="46" spans="1:31" x14ac:dyDescent="0.25">
      <c r="A46" t="s">
        <v>154</v>
      </c>
      <c r="B46" t="s">
        <v>155</v>
      </c>
      <c r="C46" t="s">
        <v>147</v>
      </c>
      <c r="D46" t="s">
        <v>109</v>
      </c>
      <c r="E46">
        <v>16</v>
      </c>
      <c r="F46">
        <v>24</v>
      </c>
      <c r="G46">
        <v>70</v>
      </c>
      <c r="H46">
        <v>12</v>
      </c>
      <c r="I46">
        <v>370.69</v>
      </c>
      <c r="J46">
        <v>5</v>
      </c>
      <c r="K46" t="s">
        <v>35</v>
      </c>
      <c r="L46" t="s">
        <v>59</v>
      </c>
      <c r="M46" t="s">
        <v>63</v>
      </c>
      <c r="N46" s="1">
        <v>46115</v>
      </c>
      <c r="O46">
        <v>5931.04</v>
      </c>
      <c r="P46">
        <v>1.33</v>
      </c>
      <c r="Q46">
        <v>0.17</v>
      </c>
      <c r="R46" t="s">
        <v>38</v>
      </c>
      <c r="S46">
        <v>8</v>
      </c>
      <c r="T46">
        <v>2965.52</v>
      </c>
      <c r="U46">
        <v>0</v>
      </c>
      <c r="V46">
        <v>0</v>
      </c>
      <c r="W46">
        <v>2965.52</v>
      </c>
      <c r="X46">
        <v>25</v>
      </c>
      <c r="Y46">
        <v>15</v>
      </c>
      <c r="Z46">
        <v>0</v>
      </c>
      <c r="AA46">
        <v>0</v>
      </c>
      <c r="AB46">
        <v>40</v>
      </c>
      <c r="AC46" t="s">
        <v>69</v>
      </c>
      <c r="AD46" t="s">
        <v>52</v>
      </c>
      <c r="AE46" t="s">
        <v>70</v>
      </c>
    </row>
    <row r="47" spans="1:31" x14ac:dyDescent="0.25">
      <c r="A47" t="s">
        <v>156</v>
      </c>
      <c r="B47" t="s">
        <v>157</v>
      </c>
      <c r="C47" t="s">
        <v>147</v>
      </c>
      <c r="D47" t="s">
        <v>34</v>
      </c>
      <c r="E47">
        <v>154</v>
      </c>
      <c r="F47">
        <v>79</v>
      </c>
      <c r="G47">
        <v>412</v>
      </c>
      <c r="H47">
        <v>83</v>
      </c>
      <c r="I47">
        <v>65.209999999999994</v>
      </c>
      <c r="J47">
        <v>3</v>
      </c>
      <c r="K47" t="s">
        <v>47</v>
      </c>
      <c r="L47" t="s">
        <v>48</v>
      </c>
      <c r="M47" t="s">
        <v>37</v>
      </c>
      <c r="N47" s="1">
        <v>46003</v>
      </c>
      <c r="O47">
        <v>10042.3399999999</v>
      </c>
      <c r="P47">
        <v>1.86</v>
      </c>
      <c r="Q47">
        <v>0.1</v>
      </c>
      <c r="R47" t="s">
        <v>38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5</v>
      </c>
      <c r="Z47">
        <v>0</v>
      </c>
      <c r="AA47">
        <v>0</v>
      </c>
      <c r="AB47">
        <v>5</v>
      </c>
      <c r="AC47" t="s">
        <v>39</v>
      </c>
      <c r="AD47" t="s">
        <v>39</v>
      </c>
      <c r="AE47" t="s">
        <v>40</v>
      </c>
    </row>
    <row r="48" spans="1:31" x14ac:dyDescent="0.25">
      <c r="A48" t="s">
        <v>158</v>
      </c>
      <c r="B48" t="s">
        <v>159</v>
      </c>
      <c r="C48" t="s">
        <v>147</v>
      </c>
      <c r="D48" t="s">
        <v>34</v>
      </c>
      <c r="E48">
        <v>201</v>
      </c>
      <c r="F48">
        <v>59</v>
      </c>
      <c r="G48">
        <v>231</v>
      </c>
      <c r="H48">
        <v>60</v>
      </c>
      <c r="I48">
        <v>369.69</v>
      </c>
      <c r="J48">
        <v>5</v>
      </c>
      <c r="K48" t="s">
        <v>112</v>
      </c>
      <c r="L48" t="s">
        <v>48</v>
      </c>
      <c r="M48" t="s">
        <v>63</v>
      </c>
      <c r="N48" s="1">
        <v>46115</v>
      </c>
      <c r="O48">
        <v>74307.69</v>
      </c>
      <c r="P48">
        <v>3.35</v>
      </c>
      <c r="Q48">
        <v>0.17</v>
      </c>
      <c r="R48" t="s">
        <v>38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15</v>
      </c>
      <c r="Z48">
        <v>0</v>
      </c>
      <c r="AA48">
        <v>0</v>
      </c>
      <c r="AB48">
        <v>15</v>
      </c>
      <c r="AC48" t="s">
        <v>39</v>
      </c>
      <c r="AD48" t="s">
        <v>39</v>
      </c>
      <c r="AE48" t="s">
        <v>40</v>
      </c>
    </row>
    <row r="49" spans="1:31" x14ac:dyDescent="0.25">
      <c r="A49" t="s">
        <v>160</v>
      </c>
      <c r="B49" t="s">
        <v>161</v>
      </c>
      <c r="C49" t="s">
        <v>147</v>
      </c>
      <c r="D49" t="s">
        <v>34</v>
      </c>
      <c r="E49">
        <v>0</v>
      </c>
      <c r="F49">
        <v>106</v>
      </c>
      <c r="G49">
        <v>348</v>
      </c>
      <c r="H49">
        <v>72</v>
      </c>
      <c r="I49">
        <v>88.93</v>
      </c>
      <c r="J49">
        <v>30</v>
      </c>
      <c r="K49" t="s">
        <v>62</v>
      </c>
      <c r="L49" t="s">
        <v>36</v>
      </c>
      <c r="M49" t="s">
        <v>37</v>
      </c>
      <c r="N49" s="1">
        <v>46019</v>
      </c>
      <c r="O49">
        <v>0</v>
      </c>
      <c r="P49">
        <v>0</v>
      </c>
      <c r="Q49">
        <v>1</v>
      </c>
      <c r="R49" t="s">
        <v>82</v>
      </c>
      <c r="S49">
        <v>106</v>
      </c>
      <c r="T49">
        <v>9426.58</v>
      </c>
      <c r="U49">
        <v>0</v>
      </c>
      <c r="V49">
        <v>0</v>
      </c>
      <c r="W49">
        <v>9426.58</v>
      </c>
      <c r="X49">
        <v>40</v>
      </c>
      <c r="Y49">
        <v>5</v>
      </c>
      <c r="Z49">
        <v>25</v>
      </c>
      <c r="AA49">
        <v>10</v>
      </c>
      <c r="AB49">
        <v>80</v>
      </c>
      <c r="AC49" t="s">
        <v>69</v>
      </c>
      <c r="AD49" t="s">
        <v>105</v>
      </c>
      <c r="AE49" t="s">
        <v>106</v>
      </c>
    </row>
    <row r="50" spans="1:31" x14ac:dyDescent="0.25">
      <c r="A50" t="s">
        <v>162</v>
      </c>
      <c r="B50" t="s">
        <v>163</v>
      </c>
      <c r="C50" t="s">
        <v>147</v>
      </c>
      <c r="D50" t="s">
        <v>109</v>
      </c>
      <c r="E50">
        <v>340</v>
      </c>
      <c r="F50">
        <v>63</v>
      </c>
      <c r="G50">
        <v>269</v>
      </c>
      <c r="H50">
        <v>207</v>
      </c>
      <c r="I50">
        <v>43.77</v>
      </c>
      <c r="J50">
        <v>45</v>
      </c>
      <c r="K50" t="s">
        <v>58</v>
      </c>
      <c r="L50" t="s">
        <v>48</v>
      </c>
      <c r="M50" t="s">
        <v>37</v>
      </c>
      <c r="N50" s="1">
        <v>46071</v>
      </c>
      <c r="O50">
        <v>14881.8</v>
      </c>
      <c r="P50">
        <v>1.64</v>
      </c>
      <c r="Q50">
        <v>1.5</v>
      </c>
      <c r="R50" t="s">
        <v>38</v>
      </c>
      <c r="S50">
        <v>0</v>
      </c>
      <c r="T50">
        <v>0</v>
      </c>
      <c r="U50">
        <v>71</v>
      </c>
      <c r="V50">
        <v>3107.67</v>
      </c>
      <c r="W50">
        <v>3107.67</v>
      </c>
      <c r="X50">
        <v>25</v>
      </c>
      <c r="Y50">
        <v>5</v>
      </c>
      <c r="Z50">
        <v>0</v>
      </c>
      <c r="AA50">
        <v>10</v>
      </c>
      <c r="AB50">
        <v>40</v>
      </c>
      <c r="AC50" t="s">
        <v>51</v>
      </c>
      <c r="AD50" t="s">
        <v>52</v>
      </c>
      <c r="AE50" t="s">
        <v>53</v>
      </c>
    </row>
    <row r="51" spans="1:31" x14ac:dyDescent="0.25">
      <c r="A51" t="s">
        <v>164</v>
      </c>
      <c r="B51" t="s">
        <v>165</v>
      </c>
      <c r="C51" t="s">
        <v>147</v>
      </c>
      <c r="D51" t="s">
        <v>34</v>
      </c>
      <c r="E51">
        <v>99</v>
      </c>
      <c r="F51">
        <v>30</v>
      </c>
      <c r="G51">
        <v>139</v>
      </c>
      <c r="H51">
        <v>19</v>
      </c>
      <c r="I51">
        <v>332.55</v>
      </c>
      <c r="J51">
        <v>7</v>
      </c>
      <c r="K51" t="s">
        <v>35</v>
      </c>
      <c r="L51" t="s">
        <v>59</v>
      </c>
      <c r="M51" t="s">
        <v>63</v>
      </c>
      <c r="N51" s="1">
        <v>46172</v>
      </c>
      <c r="O51">
        <v>32922.449999999997</v>
      </c>
      <c r="P51">
        <v>5.21</v>
      </c>
      <c r="Q51">
        <v>0.23</v>
      </c>
      <c r="R51" t="s">
        <v>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15</v>
      </c>
      <c r="Z51">
        <v>0</v>
      </c>
      <c r="AA51">
        <v>0</v>
      </c>
      <c r="AB51">
        <v>15</v>
      </c>
      <c r="AC51" t="s">
        <v>39</v>
      </c>
      <c r="AD51" t="s">
        <v>39</v>
      </c>
      <c r="AE51" t="s">
        <v>40</v>
      </c>
    </row>
    <row r="52" spans="1:31" x14ac:dyDescent="0.25">
      <c r="A52" t="s">
        <v>166</v>
      </c>
      <c r="B52" t="s">
        <v>167</v>
      </c>
      <c r="C52" t="s">
        <v>168</v>
      </c>
      <c r="D52" t="s">
        <v>34</v>
      </c>
      <c r="E52">
        <v>77</v>
      </c>
      <c r="F52">
        <v>18</v>
      </c>
      <c r="G52">
        <v>85</v>
      </c>
      <c r="H52">
        <v>30</v>
      </c>
      <c r="I52">
        <v>795.58</v>
      </c>
      <c r="J52">
        <v>10</v>
      </c>
      <c r="K52" t="s">
        <v>35</v>
      </c>
      <c r="L52" t="s">
        <v>48</v>
      </c>
      <c r="M52" t="s">
        <v>44</v>
      </c>
      <c r="N52" s="1">
        <v>46018</v>
      </c>
      <c r="O52">
        <v>61259.66</v>
      </c>
      <c r="P52">
        <v>2.57</v>
      </c>
      <c r="Q52">
        <v>0.33</v>
      </c>
      <c r="R52" t="s">
        <v>38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25</v>
      </c>
      <c r="Z52">
        <v>0</v>
      </c>
      <c r="AA52">
        <v>0</v>
      </c>
      <c r="AB52">
        <v>25</v>
      </c>
      <c r="AC52" t="s">
        <v>39</v>
      </c>
      <c r="AD52" t="s">
        <v>39</v>
      </c>
      <c r="AE52" t="s">
        <v>40</v>
      </c>
    </row>
    <row r="53" spans="1:31" x14ac:dyDescent="0.25">
      <c r="A53" t="s">
        <v>169</v>
      </c>
      <c r="B53" t="s">
        <v>170</v>
      </c>
      <c r="C53" t="s">
        <v>168</v>
      </c>
      <c r="D53" t="s">
        <v>34</v>
      </c>
      <c r="E53">
        <v>357</v>
      </c>
      <c r="F53">
        <v>119</v>
      </c>
      <c r="G53">
        <v>209</v>
      </c>
      <c r="H53">
        <v>135</v>
      </c>
      <c r="I53">
        <v>53.4</v>
      </c>
      <c r="J53">
        <v>3</v>
      </c>
      <c r="K53" t="s">
        <v>43</v>
      </c>
      <c r="L53" t="s">
        <v>48</v>
      </c>
      <c r="M53" t="s">
        <v>37</v>
      </c>
      <c r="N53" s="1">
        <v>46141</v>
      </c>
      <c r="O53">
        <v>19063.8</v>
      </c>
      <c r="P53">
        <v>2.64</v>
      </c>
      <c r="Q53">
        <v>0.1</v>
      </c>
      <c r="R53" t="s">
        <v>38</v>
      </c>
      <c r="S53">
        <v>0</v>
      </c>
      <c r="T53">
        <v>0</v>
      </c>
      <c r="U53">
        <v>148</v>
      </c>
      <c r="V53">
        <v>7903.2</v>
      </c>
      <c r="W53">
        <v>7903.2</v>
      </c>
      <c r="X53">
        <v>40</v>
      </c>
      <c r="Y53">
        <v>5</v>
      </c>
      <c r="Z53">
        <v>0</v>
      </c>
      <c r="AA53">
        <v>0</v>
      </c>
      <c r="AB53">
        <v>45</v>
      </c>
      <c r="AC53" t="s">
        <v>51</v>
      </c>
      <c r="AD53" t="s">
        <v>52</v>
      </c>
      <c r="AE53" t="s">
        <v>53</v>
      </c>
    </row>
    <row r="54" spans="1:31" x14ac:dyDescent="0.25">
      <c r="A54" t="s">
        <v>171</v>
      </c>
      <c r="B54" t="s">
        <v>172</v>
      </c>
      <c r="C54" t="s">
        <v>168</v>
      </c>
      <c r="D54" t="s">
        <v>34</v>
      </c>
      <c r="E54">
        <v>718</v>
      </c>
      <c r="F54">
        <v>83</v>
      </c>
      <c r="G54">
        <v>438</v>
      </c>
      <c r="H54">
        <v>452</v>
      </c>
      <c r="I54">
        <v>85.9</v>
      </c>
      <c r="J54">
        <v>10</v>
      </c>
      <c r="K54" t="s">
        <v>58</v>
      </c>
      <c r="L54" t="s">
        <v>48</v>
      </c>
      <c r="M54" t="s">
        <v>37</v>
      </c>
      <c r="N54" s="1">
        <v>46107</v>
      </c>
      <c r="O54">
        <v>61676.2</v>
      </c>
      <c r="P54">
        <v>1.59</v>
      </c>
      <c r="Q54">
        <v>0.33</v>
      </c>
      <c r="R54" t="s">
        <v>38</v>
      </c>
      <c r="S54">
        <v>0</v>
      </c>
      <c r="T54">
        <v>0</v>
      </c>
      <c r="U54">
        <v>280</v>
      </c>
      <c r="V54">
        <v>24052</v>
      </c>
      <c r="W54">
        <v>24052</v>
      </c>
      <c r="X54">
        <v>40</v>
      </c>
      <c r="Y54">
        <v>5</v>
      </c>
      <c r="Z54">
        <v>0</v>
      </c>
      <c r="AA54">
        <v>0</v>
      </c>
      <c r="AB54">
        <v>45</v>
      </c>
      <c r="AC54" t="s">
        <v>51</v>
      </c>
      <c r="AD54" t="s">
        <v>52</v>
      </c>
      <c r="AE54" t="s">
        <v>53</v>
      </c>
    </row>
    <row r="55" spans="1:31" x14ac:dyDescent="0.25">
      <c r="A55" t="s">
        <v>173</v>
      </c>
      <c r="B55" t="s">
        <v>174</v>
      </c>
      <c r="C55" t="s">
        <v>168</v>
      </c>
      <c r="D55" t="s">
        <v>34</v>
      </c>
      <c r="E55">
        <v>299</v>
      </c>
      <c r="F55">
        <v>36</v>
      </c>
      <c r="G55">
        <v>179</v>
      </c>
      <c r="H55">
        <v>209</v>
      </c>
      <c r="I55">
        <v>51.9</v>
      </c>
      <c r="J55">
        <v>3</v>
      </c>
      <c r="K55" t="s">
        <v>35</v>
      </c>
      <c r="L55" t="s">
        <v>59</v>
      </c>
      <c r="M55" t="s">
        <v>63</v>
      </c>
      <c r="N55" s="1">
        <v>45999</v>
      </c>
      <c r="O55">
        <v>15518.1</v>
      </c>
      <c r="P55">
        <v>1.43</v>
      </c>
      <c r="Q55">
        <v>0.1</v>
      </c>
      <c r="R55" t="s">
        <v>38</v>
      </c>
      <c r="S55">
        <v>0</v>
      </c>
      <c r="T55">
        <v>0</v>
      </c>
      <c r="U55">
        <v>120</v>
      </c>
      <c r="V55">
        <v>6228</v>
      </c>
      <c r="W55">
        <v>6228</v>
      </c>
      <c r="X55">
        <v>40</v>
      </c>
      <c r="Y55">
        <v>15</v>
      </c>
      <c r="Z55">
        <v>0</v>
      </c>
      <c r="AA55">
        <v>0</v>
      </c>
      <c r="AB55">
        <v>55</v>
      </c>
      <c r="AC55" t="s">
        <v>51</v>
      </c>
      <c r="AD55" t="s">
        <v>52</v>
      </c>
      <c r="AE55" t="s">
        <v>53</v>
      </c>
    </row>
    <row r="56" spans="1:31" x14ac:dyDescent="0.25">
      <c r="A56" t="s">
        <v>175</v>
      </c>
      <c r="B56" t="s">
        <v>176</v>
      </c>
      <c r="C56" t="s">
        <v>168</v>
      </c>
      <c r="D56" t="s">
        <v>34</v>
      </c>
      <c r="E56">
        <v>60</v>
      </c>
      <c r="F56">
        <v>112</v>
      </c>
      <c r="G56">
        <v>411</v>
      </c>
      <c r="H56">
        <v>29</v>
      </c>
      <c r="I56">
        <v>4.38</v>
      </c>
      <c r="J56">
        <v>15</v>
      </c>
      <c r="K56" t="s">
        <v>66</v>
      </c>
      <c r="L56" t="s">
        <v>36</v>
      </c>
      <c r="M56" t="s">
        <v>37</v>
      </c>
      <c r="N56" s="1">
        <v>46134</v>
      </c>
      <c r="O56">
        <v>262.8</v>
      </c>
      <c r="P56">
        <v>2.0699999999999998</v>
      </c>
      <c r="Q56">
        <v>0.5</v>
      </c>
      <c r="R56" t="s">
        <v>38</v>
      </c>
      <c r="S56">
        <v>52</v>
      </c>
      <c r="T56">
        <v>227.76</v>
      </c>
      <c r="U56">
        <v>0</v>
      </c>
      <c r="V56">
        <v>0</v>
      </c>
      <c r="W56">
        <v>227.76</v>
      </c>
      <c r="X56">
        <v>10</v>
      </c>
      <c r="Y56">
        <v>5</v>
      </c>
      <c r="Z56">
        <v>0</v>
      </c>
      <c r="AA56">
        <v>5</v>
      </c>
      <c r="AB56">
        <v>20</v>
      </c>
      <c r="AC56" t="s">
        <v>69</v>
      </c>
      <c r="AD56" t="s">
        <v>76</v>
      </c>
      <c r="AE56" t="s">
        <v>77</v>
      </c>
    </row>
    <row r="57" spans="1:31" x14ac:dyDescent="0.25">
      <c r="A57" t="s">
        <v>177</v>
      </c>
      <c r="B57" t="s">
        <v>178</v>
      </c>
      <c r="C57" t="s">
        <v>168</v>
      </c>
      <c r="D57" t="s">
        <v>34</v>
      </c>
      <c r="E57">
        <v>257</v>
      </c>
      <c r="F57">
        <v>39</v>
      </c>
      <c r="G57">
        <v>150</v>
      </c>
      <c r="H57">
        <v>103</v>
      </c>
      <c r="I57">
        <v>178.38</v>
      </c>
      <c r="J57">
        <v>5</v>
      </c>
      <c r="K57" t="s">
        <v>85</v>
      </c>
      <c r="L57" t="s">
        <v>59</v>
      </c>
      <c r="M57" t="s">
        <v>63</v>
      </c>
      <c r="N57" s="1">
        <v>46111</v>
      </c>
      <c r="O57">
        <v>45843.659999999902</v>
      </c>
      <c r="P57">
        <v>2.5</v>
      </c>
      <c r="Q57">
        <v>0.17</v>
      </c>
      <c r="R57" t="s">
        <v>38</v>
      </c>
      <c r="S57">
        <v>0</v>
      </c>
      <c r="T57">
        <v>0</v>
      </c>
      <c r="U57">
        <v>107</v>
      </c>
      <c r="V57">
        <v>19086.66</v>
      </c>
      <c r="W57">
        <v>19086.66</v>
      </c>
      <c r="X57">
        <v>40</v>
      </c>
      <c r="Y57">
        <v>15</v>
      </c>
      <c r="Z57">
        <v>0</v>
      </c>
      <c r="AA57">
        <v>0</v>
      </c>
      <c r="AB57">
        <v>55</v>
      </c>
      <c r="AC57" t="s">
        <v>51</v>
      </c>
      <c r="AD57" t="s">
        <v>52</v>
      </c>
      <c r="AE57" t="s">
        <v>53</v>
      </c>
    </row>
    <row r="58" spans="1:31" x14ac:dyDescent="0.25">
      <c r="A58" t="s">
        <v>179</v>
      </c>
      <c r="B58" t="s">
        <v>180</v>
      </c>
      <c r="C58" t="s">
        <v>168</v>
      </c>
      <c r="D58" t="s">
        <v>34</v>
      </c>
      <c r="E58">
        <v>240</v>
      </c>
      <c r="F58">
        <v>74</v>
      </c>
      <c r="G58">
        <v>268</v>
      </c>
      <c r="H58">
        <v>41</v>
      </c>
      <c r="I58">
        <v>89.99</v>
      </c>
      <c r="J58">
        <v>3</v>
      </c>
      <c r="K58" t="s">
        <v>58</v>
      </c>
      <c r="L58" t="s">
        <v>36</v>
      </c>
      <c r="M58" t="s">
        <v>37</v>
      </c>
      <c r="N58" s="1">
        <v>46168</v>
      </c>
      <c r="O58">
        <v>21597.599999999999</v>
      </c>
      <c r="P58">
        <v>5.85</v>
      </c>
      <c r="Q58">
        <v>0.1</v>
      </c>
      <c r="R58" t="s">
        <v>38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5</v>
      </c>
      <c r="Z58">
        <v>0</v>
      </c>
      <c r="AA58">
        <v>0</v>
      </c>
      <c r="AB58">
        <v>5</v>
      </c>
      <c r="AC58" t="s">
        <v>39</v>
      </c>
      <c r="AD58" t="s">
        <v>39</v>
      </c>
      <c r="AE58" t="s">
        <v>40</v>
      </c>
    </row>
    <row r="59" spans="1:31" x14ac:dyDescent="0.25">
      <c r="A59" t="s">
        <v>181</v>
      </c>
      <c r="B59" t="s">
        <v>182</v>
      </c>
      <c r="C59" t="s">
        <v>168</v>
      </c>
      <c r="D59" t="s">
        <v>34</v>
      </c>
      <c r="E59">
        <v>28</v>
      </c>
      <c r="F59">
        <v>90</v>
      </c>
      <c r="G59">
        <v>512</v>
      </c>
      <c r="H59">
        <v>38</v>
      </c>
      <c r="I59">
        <v>22.99</v>
      </c>
      <c r="J59">
        <v>15</v>
      </c>
      <c r="K59" t="s">
        <v>66</v>
      </c>
      <c r="L59" t="s">
        <v>36</v>
      </c>
      <c r="M59" t="s">
        <v>37</v>
      </c>
      <c r="N59" s="1">
        <v>46035</v>
      </c>
      <c r="O59">
        <v>643.719999999999</v>
      </c>
      <c r="P59">
        <v>0.74</v>
      </c>
      <c r="Q59">
        <v>0.5</v>
      </c>
      <c r="R59" t="s">
        <v>38</v>
      </c>
      <c r="S59">
        <v>62</v>
      </c>
      <c r="T59">
        <v>1425.3799999999901</v>
      </c>
      <c r="U59">
        <v>0</v>
      </c>
      <c r="V59">
        <v>0</v>
      </c>
      <c r="W59">
        <v>1425.3799999999901</v>
      </c>
      <c r="X59">
        <v>25</v>
      </c>
      <c r="Y59">
        <v>5</v>
      </c>
      <c r="Z59">
        <v>0</v>
      </c>
      <c r="AA59">
        <v>5</v>
      </c>
      <c r="AB59">
        <v>35</v>
      </c>
      <c r="AC59" t="s">
        <v>69</v>
      </c>
      <c r="AD59" t="s">
        <v>76</v>
      </c>
      <c r="AE59" t="s">
        <v>77</v>
      </c>
    </row>
    <row r="60" spans="1:31" x14ac:dyDescent="0.25">
      <c r="A60" t="s">
        <v>183</v>
      </c>
      <c r="B60" t="s">
        <v>184</v>
      </c>
      <c r="C60" t="s">
        <v>168</v>
      </c>
      <c r="D60" t="s">
        <v>34</v>
      </c>
      <c r="E60">
        <v>301</v>
      </c>
      <c r="F60">
        <v>121</v>
      </c>
      <c r="G60">
        <v>259</v>
      </c>
      <c r="H60">
        <v>219</v>
      </c>
      <c r="I60">
        <v>86.81</v>
      </c>
      <c r="J60">
        <v>5</v>
      </c>
      <c r="K60" t="s">
        <v>85</v>
      </c>
      <c r="L60" t="s">
        <v>48</v>
      </c>
      <c r="M60" t="s">
        <v>37</v>
      </c>
      <c r="N60" s="1">
        <v>46083</v>
      </c>
      <c r="O60">
        <v>26129.81</v>
      </c>
      <c r="P60">
        <v>1.37</v>
      </c>
      <c r="Q60">
        <v>0.17</v>
      </c>
      <c r="R60" t="s">
        <v>38</v>
      </c>
      <c r="S60">
        <v>0</v>
      </c>
      <c r="T60">
        <v>0</v>
      </c>
      <c r="U60">
        <v>42</v>
      </c>
      <c r="V60">
        <v>3646.02</v>
      </c>
      <c r="W60">
        <v>3646.02</v>
      </c>
      <c r="X60">
        <v>25</v>
      </c>
      <c r="Y60">
        <v>5</v>
      </c>
      <c r="Z60">
        <v>0</v>
      </c>
      <c r="AA60">
        <v>0</v>
      </c>
      <c r="AB60">
        <v>30</v>
      </c>
      <c r="AC60" t="s">
        <v>51</v>
      </c>
      <c r="AD60" t="s">
        <v>76</v>
      </c>
      <c r="AE60" t="s">
        <v>123</v>
      </c>
    </row>
    <row r="61" spans="1:31" x14ac:dyDescent="0.25">
      <c r="A61" t="s">
        <v>185</v>
      </c>
      <c r="B61" t="s">
        <v>186</v>
      </c>
      <c r="C61" t="s">
        <v>168</v>
      </c>
      <c r="D61" t="s">
        <v>34</v>
      </c>
      <c r="E61">
        <v>463</v>
      </c>
      <c r="F61">
        <v>78</v>
      </c>
      <c r="G61">
        <v>361</v>
      </c>
      <c r="H61">
        <v>90</v>
      </c>
      <c r="I61">
        <v>81.91</v>
      </c>
      <c r="J61">
        <v>10</v>
      </c>
      <c r="K61" t="s">
        <v>43</v>
      </c>
      <c r="L61" t="s">
        <v>59</v>
      </c>
      <c r="M61" t="s">
        <v>37</v>
      </c>
      <c r="N61" s="1">
        <v>46205</v>
      </c>
      <c r="O61">
        <v>37924.33</v>
      </c>
      <c r="P61">
        <v>5.14</v>
      </c>
      <c r="Q61">
        <v>0.33</v>
      </c>
      <c r="R61" t="s">
        <v>38</v>
      </c>
      <c r="S61">
        <v>0</v>
      </c>
      <c r="T61">
        <v>0</v>
      </c>
      <c r="U61">
        <v>102</v>
      </c>
      <c r="V61">
        <v>8354.82</v>
      </c>
      <c r="W61">
        <v>8354.82</v>
      </c>
      <c r="X61">
        <v>40</v>
      </c>
      <c r="Y61">
        <v>5</v>
      </c>
      <c r="Z61">
        <v>0</v>
      </c>
      <c r="AA61">
        <v>0</v>
      </c>
      <c r="AB61">
        <v>45</v>
      </c>
      <c r="AC61" t="s">
        <v>51</v>
      </c>
      <c r="AD61" t="s">
        <v>52</v>
      </c>
      <c r="AE61" t="s">
        <v>53</v>
      </c>
    </row>
    <row r="62" spans="1:31" x14ac:dyDescent="0.25">
      <c r="A62" t="s">
        <v>187</v>
      </c>
      <c r="B62" t="s">
        <v>188</v>
      </c>
      <c r="C62" t="s">
        <v>189</v>
      </c>
      <c r="D62" t="s">
        <v>190</v>
      </c>
      <c r="E62">
        <v>156</v>
      </c>
      <c r="F62">
        <v>102</v>
      </c>
      <c r="G62">
        <v>203</v>
      </c>
      <c r="H62">
        <v>85</v>
      </c>
      <c r="I62">
        <v>12.65</v>
      </c>
      <c r="J62">
        <v>5</v>
      </c>
      <c r="K62" t="s">
        <v>66</v>
      </c>
      <c r="L62" t="s">
        <v>36</v>
      </c>
      <c r="M62" t="s">
        <v>37</v>
      </c>
      <c r="N62" s="1">
        <v>46102</v>
      </c>
      <c r="O62">
        <v>1973.4</v>
      </c>
      <c r="P62">
        <v>1.84</v>
      </c>
      <c r="Q62">
        <v>0.17</v>
      </c>
      <c r="R62" t="s">
        <v>38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</v>
      </c>
      <c r="Z62">
        <v>0</v>
      </c>
      <c r="AA62">
        <v>0</v>
      </c>
      <c r="AB62">
        <v>5</v>
      </c>
      <c r="AC62" t="s">
        <v>39</v>
      </c>
      <c r="AD62" t="s">
        <v>39</v>
      </c>
      <c r="AE62" t="s">
        <v>40</v>
      </c>
    </row>
    <row r="63" spans="1:31" x14ac:dyDescent="0.25">
      <c r="A63" t="s">
        <v>191</v>
      </c>
      <c r="B63" t="s">
        <v>192</v>
      </c>
      <c r="C63" t="s">
        <v>189</v>
      </c>
      <c r="D63" t="s">
        <v>193</v>
      </c>
      <c r="E63">
        <v>0</v>
      </c>
      <c r="F63">
        <v>43</v>
      </c>
      <c r="G63">
        <v>344</v>
      </c>
      <c r="H63">
        <v>22</v>
      </c>
      <c r="I63">
        <v>74.37</v>
      </c>
      <c r="J63">
        <v>45</v>
      </c>
      <c r="K63" t="s">
        <v>112</v>
      </c>
      <c r="L63" t="s">
        <v>48</v>
      </c>
      <c r="M63" t="s">
        <v>37</v>
      </c>
      <c r="N63" s="1">
        <v>46050</v>
      </c>
      <c r="O63">
        <v>0</v>
      </c>
      <c r="P63">
        <v>0</v>
      </c>
      <c r="Q63">
        <v>1.5</v>
      </c>
      <c r="R63" t="s">
        <v>82</v>
      </c>
      <c r="S63">
        <v>43</v>
      </c>
      <c r="T63">
        <v>3197.91</v>
      </c>
      <c r="U63">
        <v>0</v>
      </c>
      <c r="V63">
        <v>0</v>
      </c>
      <c r="W63">
        <v>3197.91</v>
      </c>
      <c r="X63">
        <v>25</v>
      </c>
      <c r="Y63">
        <v>5</v>
      </c>
      <c r="Z63">
        <v>25</v>
      </c>
      <c r="AA63">
        <v>10</v>
      </c>
      <c r="AB63">
        <v>65</v>
      </c>
      <c r="AC63" t="s">
        <v>69</v>
      </c>
      <c r="AD63" t="s">
        <v>52</v>
      </c>
      <c r="AE63" t="s">
        <v>70</v>
      </c>
    </row>
    <row r="64" spans="1:31" x14ac:dyDescent="0.25">
      <c r="A64" t="s">
        <v>194</v>
      </c>
      <c r="B64" t="s">
        <v>195</v>
      </c>
      <c r="C64" t="s">
        <v>189</v>
      </c>
      <c r="D64" t="s">
        <v>190</v>
      </c>
      <c r="E64">
        <v>59</v>
      </c>
      <c r="F64">
        <v>25</v>
      </c>
      <c r="G64">
        <v>74</v>
      </c>
      <c r="H64">
        <v>36</v>
      </c>
      <c r="I64">
        <v>1580.45</v>
      </c>
      <c r="J64">
        <v>45</v>
      </c>
      <c r="K64" t="s">
        <v>43</v>
      </c>
      <c r="L64" t="s">
        <v>48</v>
      </c>
      <c r="M64" t="s">
        <v>44</v>
      </c>
      <c r="N64" s="1">
        <v>46120</v>
      </c>
      <c r="O64">
        <v>93246.55</v>
      </c>
      <c r="P64">
        <v>1.64</v>
      </c>
      <c r="Q64">
        <v>1.5</v>
      </c>
      <c r="R64" t="s">
        <v>38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25</v>
      </c>
      <c r="Z64">
        <v>0</v>
      </c>
      <c r="AA64">
        <v>10</v>
      </c>
      <c r="AB64">
        <v>35</v>
      </c>
      <c r="AC64" t="s">
        <v>39</v>
      </c>
      <c r="AD64" t="s">
        <v>39</v>
      </c>
      <c r="AE64" t="s">
        <v>40</v>
      </c>
    </row>
    <row r="65" spans="1:31" x14ac:dyDescent="0.25">
      <c r="A65" t="s">
        <v>196</v>
      </c>
      <c r="B65" t="s">
        <v>197</v>
      </c>
      <c r="C65" t="s">
        <v>189</v>
      </c>
      <c r="D65" t="s">
        <v>190</v>
      </c>
      <c r="E65">
        <v>326</v>
      </c>
      <c r="F65">
        <v>41</v>
      </c>
      <c r="G65">
        <v>263</v>
      </c>
      <c r="H65">
        <v>195</v>
      </c>
      <c r="I65">
        <v>75.099999999999994</v>
      </c>
      <c r="J65">
        <v>30</v>
      </c>
      <c r="K65" t="s">
        <v>85</v>
      </c>
      <c r="L65" t="s">
        <v>48</v>
      </c>
      <c r="M65" t="s">
        <v>37</v>
      </c>
      <c r="N65" s="1">
        <v>46145</v>
      </c>
      <c r="O65">
        <v>24482.6</v>
      </c>
      <c r="P65">
        <v>1.67</v>
      </c>
      <c r="Q65">
        <v>1</v>
      </c>
      <c r="R65" t="s">
        <v>38</v>
      </c>
      <c r="S65">
        <v>0</v>
      </c>
      <c r="T65">
        <v>0</v>
      </c>
      <c r="U65">
        <v>63</v>
      </c>
      <c r="V65">
        <v>4731.2999999999902</v>
      </c>
      <c r="W65">
        <v>4731.2999999999902</v>
      </c>
      <c r="X65">
        <v>25</v>
      </c>
      <c r="Y65">
        <v>5</v>
      </c>
      <c r="Z65">
        <v>0</v>
      </c>
      <c r="AA65">
        <v>10</v>
      </c>
      <c r="AB65">
        <v>40</v>
      </c>
      <c r="AC65" t="s">
        <v>51</v>
      </c>
      <c r="AD65" t="s">
        <v>52</v>
      </c>
      <c r="AE65" t="s">
        <v>53</v>
      </c>
    </row>
    <row r="66" spans="1:31" x14ac:dyDescent="0.25">
      <c r="A66" t="s">
        <v>198</v>
      </c>
      <c r="B66" t="s">
        <v>199</v>
      </c>
      <c r="C66" t="s">
        <v>189</v>
      </c>
      <c r="D66" t="s">
        <v>190</v>
      </c>
      <c r="E66">
        <v>406</v>
      </c>
      <c r="F66">
        <v>57</v>
      </c>
      <c r="G66">
        <v>318</v>
      </c>
      <c r="H66">
        <v>129</v>
      </c>
      <c r="I66">
        <v>18</v>
      </c>
      <c r="J66">
        <v>15</v>
      </c>
      <c r="K66" t="s">
        <v>85</v>
      </c>
      <c r="L66" t="s">
        <v>59</v>
      </c>
      <c r="M66" t="s">
        <v>37</v>
      </c>
      <c r="N66" s="1">
        <v>46089</v>
      </c>
      <c r="O66">
        <v>7308</v>
      </c>
      <c r="P66">
        <v>3.15</v>
      </c>
      <c r="Q66">
        <v>0.5</v>
      </c>
      <c r="R66" t="s">
        <v>38</v>
      </c>
      <c r="S66">
        <v>0</v>
      </c>
      <c r="T66">
        <v>0</v>
      </c>
      <c r="U66">
        <v>88</v>
      </c>
      <c r="V66">
        <v>1584</v>
      </c>
      <c r="W66">
        <v>1584</v>
      </c>
      <c r="X66">
        <v>25</v>
      </c>
      <c r="Y66">
        <v>5</v>
      </c>
      <c r="Z66">
        <v>0</v>
      </c>
      <c r="AA66">
        <v>5</v>
      </c>
      <c r="AB66">
        <v>35</v>
      </c>
      <c r="AC66" t="s">
        <v>51</v>
      </c>
      <c r="AD66" t="s">
        <v>76</v>
      </c>
      <c r="AE66" t="s">
        <v>123</v>
      </c>
    </row>
    <row r="67" spans="1:31" x14ac:dyDescent="0.25">
      <c r="A67" t="s">
        <v>200</v>
      </c>
      <c r="B67" t="s">
        <v>201</v>
      </c>
      <c r="C67" t="s">
        <v>189</v>
      </c>
      <c r="D67" t="s">
        <v>193</v>
      </c>
      <c r="E67">
        <v>245</v>
      </c>
      <c r="F67">
        <v>122</v>
      </c>
      <c r="G67">
        <v>410</v>
      </c>
      <c r="H67">
        <v>138</v>
      </c>
      <c r="I67">
        <v>9.5299999999999994</v>
      </c>
      <c r="J67">
        <v>45</v>
      </c>
      <c r="K67" t="s">
        <v>85</v>
      </c>
      <c r="L67" t="s">
        <v>36</v>
      </c>
      <c r="M67" t="s">
        <v>37</v>
      </c>
      <c r="N67" s="1">
        <v>46117</v>
      </c>
      <c r="O67">
        <v>2334.85</v>
      </c>
      <c r="P67">
        <v>1.78</v>
      </c>
      <c r="Q67">
        <v>1.5</v>
      </c>
      <c r="R67" t="s">
        <v>38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</v>
      </c>
      <c r="Z67">
        <v>0</v>
      </c>
      <c r="AA67">
        <v>10</v>
      </c>
      <c r="AB67">
        <v>15</v>
      </c>
      <c r="AC67" t="s">
        <v>39</v>
      </c>
      <c r="AD67" t="s">
        <v>39</v>
      </c>
      <c r="AE67" t="s">
        <v>40</v>
      </c>
    </row>
    <row r="68" spans="1:31" x14ac:dyDescent="0.25">
      <c r="A68" t="s">
        <v>202</v>
      </c>
      <c r="B68" t="s">
        <v>203</v>
      </c>
      <c r="C68" t="s">
        <v>189</v>
      </c>
      <c r="D68" t="s">
        <v>190</v>
      </c>
      <c r="E68">
        <v>77</v>
      </c>
      <c r="F68">
        <v>30</v>
      </c>
      <c r="G68">
        <v>148</v>
      </c>
      <c r="H68">
        <v>33</v>
      </c>
      <c r="I68">
        <v>205.8</v>
      </c>
      <c r="J68">
        <v>20</v>
      </c>
      <c r="K68" t="s">
        <v>66</v>
      </c>
      <c r="L68" t="s">
        <v>48</v>
      </c>
      <c r="M68" t="s">
        <v>63</v>
      </c>
      <c r="N68" s="1">
        <v>46123</v>
      </c>
      <c r="O68">
        <v>15846.6</v>
      </c>
      <c r="P68">
        <v>2.33</v>
      </c>
      <c r="Q68">
        <v>0.67</v>
      </c>
      <c r="R68" t="s">
        <v>38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15</v>
      </c>
      <c r="Z68">
        <v>0</v>
      </c>
      <c r="AA68">
        <v>5</v>
      </c>
      <c r="AB68">
        <v>20</v>
      </c>
      <c r="AC68" t="s">
        <v>39</v>
      </c>
      <c r="AD68" t="s">
        <v>39</v>
      </c>
      <c r="AE68" t="s">
        <v>40</v>
      </c>
    </row>
    <row r="69" spans="1:31" x14ac:dyDescent="0.25">
      <c r="A69" t="s">
        <v>204</v>
      </c>
      <c r="B69" t="s">
        <v>205</v>
      </c>
      <c r="C69" t="s">
        <v>189</v>
      </c>
      <c r="D69" t="s">
        <v>190</v>
      </c>
      <c r="E69">
        <v>13</v>
      </c>
      <c r="F69">
        <v>62</v>
      </c>
      <c r="G69">
        <v>260</v>
      </c>
      <c r="H69">
        <v>21</v>
      </c>
      <c r="I69">
        <v>25.84</v>
      </c>
      <c r="J69">
        <v>7</v>
      </c>
      <c r="K69" t="s">
        <v>58</v>
      </c>
      <c r="L69" t="s">
        <v>59</v>
      </c>
      <c r="M69" t="s">
        <v>37</v>
      </c>
      <c r="N69" s="1">
        <v>46182</v>
      </c>
      <c r="O69">
        <v>335.92</v>
      </c>
      <c r="P69">
        <v>0.62</v>
      </c>
      <c r="Q69">
        <v>0.23</v>
      </c>
      <c r="R69" t="s">
        <v>38</v>
      </c>
      <c r="S69">
        <v>49</v>
      </c>
      <c r="T69">
        <v>1266.1600000000001</v>
      </c>
      <c r="U69">
        <v>0</v>
      </c>
      <c r="V69">
        <v>0</v>
      </c>
      <c r="W69">
        <v>1266.1600000000001</v>
      </c>
      <c r="X69">
        <v>25</v>
      </c>
      <c r="Y69">
        <v>5</v>
      </c>
      <c r="Z69">
        <v>0</v>
      </c>
      <c r="AA69">
        <v>0</v>
      </c>
      <c r="AB69">
        <v>30</v>
      </c>
      <c r="AC69" t="s">
        <v>69</v>
      </c>
      <c r="AD69" t="s">
        <v>76</v>
      </c>
      <c r="AE69" t="s">
        <v>77</v>
      </c>
    </row>
    <row r="70" spans="1:31" x14ac:dyDescent="0.25">
      <c r="A70" t="s">
        <v>206</v>
      </c>
      <c r="B70" t="s">
        <v>207</v>
      </c>
      <c r="C70" t="s">
        <v>189</v>
      </c>
      <c r="D70" t="s">
        <v>190</v>
      </c>
      <c r="E70">
        <v>0</v>
      </c>
      <c r="F70">
        <v>48</v>
      </c>
      <c r="G70">
        <v>160</v>
      </c>
      <c r="H70">
        <v>31</v>
      </c>
      <c r="I70">
        <v>337.08</v>
      </c>
      <c r="J70">
        <v>15</v>
      </c>
      <c r="K70" t="s">
        <v>66</v>
      </c>
      <c r="L70" t="s">
        <v>36</v>
      </c>
      <c r="M70" t="s">
        <v>63</v>
      </c>
      <c r="N70" s="1">
        <v>46173</v>
      </c>
      <c r="O70">
        <v>0</v>
      </c>
      <c r="P70">
        <v>0</v>
      </c>
      <c r="Q70">
        <v>0.5</v>
      </c>
      <c r="R70" t="s">
        <v>82</v>
      </c>
      <c r="S70">
        <v>48</v>
      </c>
      <c r="T70">
        <v>16179.84</v>
      </c>
      <c r="U70">
        <v>0</v>
      </c>
      <c r="V70">
        <v>0</v>
      </c>
      <c r="W70">
        <v>16179.84</v>
      </c>
      <c r="X70">
        <v>40</v>
      </c>
      <c r="Y70">
        <v>15</v>
      </c>
      <c r="Z70">
        <v>25</v>
      </c>
      <c r="AA70">
        <v>5</v>
      </c>
      <c r="AB70">
        <v>85</v>
      </c>
      <c r="AC70" t="s">
        <v>69</v>
      </c>
      <c r="AD70" t="s">
        <v>105</v>
      </c>
      <c r="AE70" t="s">
        <v>106</v>
      </c>
    </row>
    <row r="71" spans="1:31" x14ac:dyDescent="0.25">
      <c r="A71" t="s">
        <v>208</v>
      </c>
      <c r="B71" t="s">
        <v>209</v>
      </c>
      <c r="C71" t="s">
        <v>189</v>
      </c>
      <c r="D71" t="s">
        <v>193</v>
      </c>
      <c r="E71">
        <v>2</v>
      </c>
      <c r="F71">
        <v>23</v>
      </c>
      <c r="G71">
        <v>133</v>
      </c>
      <c r="H71">
        <v>11</v>
      </c>
      <c r="I71">
        <v>330.29</v>
      </c>
      <c r="J71">
        <v>7</v>
      </c>
      <c r="K71" t="s">
        <v>62</v>
      </c>
      <c r="L71" t="s">
        <v>36</v>
      </c>
      <c r="M71" t="s">
        <v>63</v>
      </c>
      <c r="N71" s="1">
        <v>46068</v>
      </c>
      <c r="O71">
        <v>660.58</v>
      </c>
      <c r="P71">
        <v>0.18</v>
      </c>
      <c r="Q71">
        <v>0.23</v>
      </c>
      <c r="R71" t="s">
        <v>82</v>
      </c>
      <c r="S71">
        <v>21</v>
      </c>
      <c r="T71">
        <v>6936.09</v>
      </c>
      <c r="U71">
        <v>0</v>
      </c>
      <c r="V71">
        <v>0</v>
      </c>
      <c r="W71">
        <v>6936.09</v>
      </c>
      <c r="X71">
        <v>40</v>
      </c>
      <c r="Y71">
        <v>15</v>
      </c>
      <c r="Z71">
        <v>25</v>
      </c>
      <c r="AA71">
        <v>0</v>
      </c>
      <c r="AB71">
        <v>80</v>
      </c>
      <c r="AC71" t="s">
        <v>69</v>
      </c>
      <c r="AD71" t="s">
        <v>105</v>
      </c>
      <c r="AE71" t="s">
        <v>106</v>
      </c>
    </row>
    <row r="72" spans="1:31" x14ac:dyDescent="0.25">
      <c r="A72" t="s">
        <v>210</v>
      </c>
      <c r="B72" t="s">
        <v>211</v>
      </c>
      <c r="C72" t="s">
        <v>212</v>
      </c>
      <c r="D72" t="s">
        <v>213</v>
      </c>
      <c r="E72">
        <v>184</v>
      </c>
      <c r="F72">
        <v>90</v>
      </c>
      <c r="G72">
        <v>415</v>
      </c>
      <c r="H72">
        <v>134</v>
      </c>
      <c r="I72">
        <v>52.52</v>
      </c>
      <c r="J72">
        <v>15</v>
      </c>
      <c r="K72" t="s">
        <v>62</v>
      </c>
      <c r="L72" t="s">
        <v>36</v>
      </c>
      <c r="M72" t="s">
        <v>37</v>
      </c>
      <c r="N72" s="1">
        <v>45991</v>
      </c>
      <c r="O72">
        <v>9663.68</v>
      </c>
      <c r="P72">
        <v>1.37</v>
      </c>
      <c r="Q72">
        <v>0.5</v>
      </c>
      <c r="R72" t="s">
        <v>38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</v>
      </c>
      <c r="Z72">
        <v>0</v>
      </c>
      <c r="AA72">
        <v>5</v>
      </c>
      <c r="AB72">
        <v>10</v>
      </c>
      <c r="AC72" t="s">
        <v>39</v>
      </c>
      <c r="AD72" t="s">
        <v>39</v>
      </c>
      <c r="AE72" t="s">
        <v>40</v>
      </c>
    </row>
    <row r="73" spans="1:31" x14ac:dyDescent="0.25">
      <c r="A73" t="s">
        <v>214</v>
      </c>
      <c r="B73" t="s">
        <v>215</v>
      </c>
      <c r="C73" t="s">
        <v>212</v>
      </c>
      <c r="D73" t="s">
        <v>34</v>
      </c>
      <c r="E73">
        <v>66</v>
      </c>
      <c r="F73">
        <v>39</v>
      </c>
      <c r="G73">
        <v>414</v>
      </c>
      <c r="H73">
        <v>15</v>
      </c>
      <c r="I73">
        <v>37.26</v>
      </c>
      <c r="J73">
        <v>15</v>
      </c>
      <c r="K73" t="s">
        <v>58</v>
      </c>
      <c r="L73" t="s">
        <v>36</v>
      </c>
      <c r="M73" t="s">
        <v>37</v>
      </c>
      <c r="N73" s="1">
        <v>46210</v>
      </c>
      <c r="O73">
        <v>2459.16</v>
      </c>
      <c r="P73">
        <v>4.4000000000000004</v>
      </c>
      <c r="Q73">
        <v>0.5</v>
      </c>
      <c r="R73" t="s">
        <v>38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5</v>
      </c>
      <c r="Z73">
        <v>0</v>
      </c>
      <c r="AA73">
        <v>5</v>
      </c>
      <c r="AB73">
        <v>10</v>
      </c>
      <c r="AC73" t="s">
        <v>39</v>
      </c>
      <c r="AD73" t="s">
        <v>39</v>
      </c>
      <c r="AE73" t="s">
        <v>40</v>
      </c>
    </row>
    <row r="74" spans="1:31" x14ac:dyDescent="0.25">
      <c r="A74" t="s">
        <v>216</v>
      </c>
      <c r="B74" t="s">
        <v>217</v>
      </c>
      <c r="C74" t="s">
        <v>212</v>
      </c>
      <c r="D74" t="s">
        <v>213</v>
      </c>
      <c r="E74">
        <v>373</v>
      </c>
      <c r="F74">
        <v>106</v>
      </c>
      <c r="G74">
        <v>502</v>
      </c>
      <c r="H74">
        <v>141</v>
      </c>
      <c r="I74">
        <v>38.619999999999997</v>
      </c>
      <c r="J74">
        <v>45</v>
      </c>
      <c r="K74" t="s">
        <v>35</v>
      </c>
      <c r="L74" t="s">
        <v>48</v>
      </c>
      <c r="M74" t="s">
        <v>37</v>
      </c>
      <c r="N74" s="1">
        <v>46155</v>
      </c>
      <c r="O74">
        <v>14405.2599999999</v>
      </c>
      <c r="P74">
        <v>2.65</v>
      </c>
      <c r="Q74">
        <v>1.5</v>
      </c>
      <c r="R74" t="s">
        <v>38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</v>
      </c>
      <c r="Z74">
        <v>0</v>
      </c>
      <c r="AA74">
        <v>10</v>
      </c>
      <c r="AB74">
        <v>15</v>
      </c>
      <c r="AC74" t="s">
        <v>39</v>
      </c>
      <c r="AD74" t="s">
        <v>39</v>
      </c>
      <c r="AE74" t="s">
        <v>40</v>
      </c>
    </row>
    <row r="75" spans="1:31" x14ac:dyDescent="0.25">
      <c r="A75" t="s">
        <v>218</v>
      </c>
      <c r="B75" t="s">
        <v>219</v>
      </c>
      <c r="C75" t="s">
        <v>212</v>
      </c>
      <c r="D75" t="s">
        <v>34</v>
      </c>
      <c r="E75">
        <v>308</v>
      </c>
      <c r="F75">
        <v>124</v>
      </c>
      <c r="G75">
        <v>254</v>
      </c>
      <c r="H75">
        <v>161</v>
      </c>
      <c r="I75">
        <v>7.3</v>
      </c>
      <c r="J75">
        <v>15</v>
      </c>
      <c r="K75" t="s">
        <v>47</v>
      </c>
      <c r="L75" t="s">
        <v>36</v>
      </c>
      <c r="M75" t="s">
        <v>37</v>
      </c>
      <c r="N75" s="1">
        <v>46062</v>
      </c>
      <c r="O75">
        <v>2248.4</v>
      </c>
      <c r="P75">
        <v>1.91</v>
      </c>
      <c r="Q75">
        <v>0.5</v>
      </c>
      <c r="R75" t="s">
        <v>38</v>
      </c>
      <c r="S75">
        <v>0</v>
      </c>
      <c r="T75">
        <v>0</v>
      </c>
      <c r="U75">
        <v>54</v>
      </c>
      <c r="V75">
        <v>394.2</v>
      </c>
      <c r="W75">
        <v>394.2</v>
      </c>
      <c r="X75">
        <v>10</v>
      </c>
      <c r="Y75">
        <v>5</v>
      </c>
      <c r="Z75">
        <v>0</v>
      </c>
      <c r="AA75">
        <v>5</v>
      </c>
      <c r="AB75">
        <v>20</v>
      </c>
      <c r="AC75" t="s">
        <v>51</v>
      </c>
      <c r="AD75" t="s">
        <v>76</v>
      </c>
      <c r="AE75" t="s">
        <v>123</v>
      </c>
    </row>
    <row r="76" spans="1:31" x14ac:dyDescent="0.25">
      <c r="A76" t="s">
        <v>220</v>
      </c>
      <c r="B76" t="s">
        <v>221</v>
      </c>
      <c r="C76" t="s">
        <v>212</v>
      </c>
      <c r="D76" t="s">
        <v>213</v>
      </c>
      <c r="E76">
        <v>63</v>
      </c>
      <c r="F76">
        <v>25</v>
      </c>
      <c r="G76">
        <v>65</v>
      </c>
      <c r="H76">
        <v>27</v>
      </c>
      <c r="I76">
        <v>266.32</v>
      </c>
      <c r="J76">
        <v>3</v>
      </c>
      <c r="K76" t="s">
        <v>43</v>
      </c>
      <c r="L76" t="s">
        <v>59</v>
      </c>
      <c r="M76" t="s">
        <v>63</v>
      </c>
      <c r="N76" s="1">
        <v>46172</v>
      </c>
      <c r="O76">
        <v>16778.16</v>
      </c>
      <c r="P76">
        <v>2.33</v>
      </c>
      <c r="Q76">
        <v>0.1</v>
      </c>
      <c r="R76" t="s">
        <v>38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15</v>
      </c>
      <c r="Z76">
        <v>0</v>
      </c>
      <c r="AA76">
        <v>0</v>
      </c>
      <c r="AB76">
        <v>15</v>
      </c>
      <c r="AC76" t="s">
        <v>39</v>
      </c>
      <c r="AD76" t="s">
        <v>39</v>
      </c>
      <c r="AE76" t="s">
        <v>40</v>
      </c>
    </row>
    <row r="77" spans="1:31" x14ac:dyDescent="0.25">
      <c r="A77" t="s">
        <v>222</v>
      </c>
      <c r="B77" t="s">
        <v>223</v>
      </c>
      <c r="C77" t="s">
        <v>212</v>
      </c>
      <c r="D77" t="s">
        <v>34</v>
      </c>
      <c r="E77">
        <v>199</v>
      </c>
      <c r="F77">
        <v>19</v>
      </c>
      <c r="G77">
        <v>118</v>
      </c>
      <c r="H77">
        <v>100</v>
      </c>
      <c r="I77">
        <v>392.44</v>
      </c>
      <c r="J77">
        <v>10</v>
      </c>
      <c r="K77" t="s">
        <v>47</v>
      </c>
      <c r="L77" t="s">
        <v>59</v>
      </c>
      <c r="M77" t="s">
        <v>63</v>
      </c>
      <c r="N77" s="1">
        <v>46123</v>
      </c>
      <c r="O77">
        <v>78095.56</v>
      </c>
      <c r="P77">
        <v>1.99</v>
      </c>
      <c r="Q77">
        <v>0.33</v>
      </c>
      <c r="R77" t="s">
        <v>38</v>
      </c>
      <c r="S77">
        <v>0</v>
      </c>
      <c r="T77">
        <v>0</v>
      </c>
      <c r="U77">
        <v>81</v>
      </c>
      <c r="V77">
        <v>31787.64</v>
      </c>
      <c r="W77">
        <v>31787.64</v>
      </c>
      <c r="X77">
        <v>40</v>
      </c>
      <c r="Y77">
        <v>15</v>
      </c>
      <c r="Z77">
        <v>0</v>
      </c>
      <c r="AA77">
        <v>0</v>
      </c>
      <c r="AB77">
        <v>55</v>
      </c>
      <c r="AC77" t="s">
        <v>51</v>
      </c>
      <c r="AD77" t="s">
        <v>52</v>
      </c>
      <c r="AE77" t="s">
        <v>53</v>
      </c>
    </row>
    <row r="78" spans="1:31" x14ac:dyDescent="0.25">
      <c r="A78" t="s">
        <v>224</v>
      </c>
      <c r="B78" t="s">
        <v>225</v>
      </c>
      <c r="C78" t="s">
        <v>212</v>
      </c>
      <c r="D78" t="s">
        <v>213</v>
      </c>
      <c r="E78">
        <v>6</v>
      </c>
      <c r="F78">
        <v>32</v>
      </c>
      <c r="G78">
        <v>108</v>
      </c>
      <c r="H78">
        <v>20</v>
      </c>
      <c r="I78">
        <v>101.09</v>
      </c>
      <c r="J78">
        <v>15</v>
      </c>
      <c r="K78" t="s">
        <v>47</v>
      </c>
      <c r="L78" t="s">
        <v>48</v>
      </c>
      <c r="M78" t="s">
        <v>63</v>
      </c>
      <c r="N78" s="1">
        <v>46119</v>
      </c>
      <c r="O78">
        <v>606.54</v>
      </c>
      <c r="P78">
        <v>0.3</v>
      </c>
      <c r="Q78">
        <v>0.5</v>
      </c>
      <c r="R78" t="s">
        <v>82</v>
      </c>
      <c r="S78">
        <v>26</v>
      </c>
      <c r="T78">
        <v>2628.34</v>
      </c>
      <c r="U78">
        <v>0</v>
      </c>
      <c r="V78">
        <v>0</v>
      </c>
      <c r="W78">
        <v>2628.34</v>
      </c>
      <c r="X78">
        <v>25</v>
      </c>
      <c r="Y78">
        <v>15</v>
      </c>
      <c r="Z78">
        <v>25</v>
      </c>
      <c r="AA78">
        <v>5</v>
      </c>
      <c r="AB78">
        <v>70</v>
      </c>
      <c r="AC78" t="s">
        <v>69</v>
      </c>
      <c r="AD78" t="s">
        <v>105</v>
      </c>
      <c r="AE78" t="s">
        <v>106</v>
      </c>
    </row>
    <row r="79" spans="1:31" x14ac:dyDescent="0.25">
      <c r="A79" t="s">
        <v>226</v>
      </c>
      <c r="B79" t="s">
        <v>227</v>
      </c>
      <c r="C79" t="s">
        <v>212</v>
      </c>
      <c r="D79" t="s">
        <v>34</v>
      </c>
      <c r="E79">
        <v>276</v>
      </c>
      <c r="F79">
        <v>150</v>
      </c>
      <c r="G79">
        <v>369</v>
      </c>
      <c r="H79">
        <v>113</v>
      </c>
      <c r="I79">
        <v>63.58</v>
      </c>
      <c r="J79">
        <v>3</v>
      </c>
      <c r="K79" t="s">
        <v>35</v>
      </c>
      <c r="L79" t="s">
        <v>59</v>
      </c>
      <c r="M79" t="s">
        <v>37</v>
      </c>
      <c r="N79" s="1">
        <v>46004</v>
      </c>
      <c r="O79">
        <v>17548.0799999999</v>
      </c>
      <c r="P79">
        <v>2.44</v>
      </c>
      <c r="Q79">
        <v>0.1</v>
      </c>
      <c r="R79" t="s">
        <v>38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5</v>
      </c>
      <c r="Z79">
        <v>0</v>
      </c>
      <c r="AA79">
        <v>0</v>
      </c>
      <c r="AB79">
        <v>5</v>
      </c>
      <c r="AC79" t="s">
        <v>39</v>
      </c>
      <c r="AD79" t="s">
        <v>39</v>
      </c>
      <c r="AE79" t="s">
        <v>40</v>
      </c>
    </row>
    <row r="80" spans="1:31" x14ac:dyDescent="0.25">
      <c r="A80" t="s">
        <v>228</v>
      </c>
      <c r="B80" t="s">
        <v>229</v>
      </c>
      <c r="C80" t="s">
        <v>212</v>
      </c>
      <c r="D80" t="s">
        <v>213</v>
      </c>
      <c r="E80">
        <v>0</v>
      </c>
      <c r="F80">
        <v>20</v>
      </c>
      <c r="G80">
        <v>118</v>
      </c>
      <c r="H80">
        <v>13</v>
      </c>
      <c r="I80">
        <v>142.65</v>
      </c>
      <c r="J80">
        <v>3</v>
      </c>
      <c r="K80" t="s">
        <v>43</v>
      </c>
      <c r="L80" t="s">
        <v>59</v>
      </c>
      <c r="M80" t="s">
        <v>63</v>
      </c>
      <c r="N80" s="1">
        <v>46036</v>
      </c>
      <c r="O80">
        <v>0</v>
      </c>
      <c r="P80">
        <v>0</v>
      </c>
      <c r="Q80">
        <v>0.1</v>
      </c>
      <c r="R80" t="s">
        <v>82</v>
      </c>
      <c r="S80">
        <v>20</v>
      </c>
      <c r="T80">
        <v>2853</v>
      </c>
      <c r="U80">
        <v>0</v>
      </c>
      <c r="V80">
        <v>0</v>
      </c>
      <c r="W80">
        <v>2853</v>
      </c>
      <c r="X80">
        <v>25</v>
      </c>
      <c r="Y80">
        <v>15</v>
      </c>
      <c r="Z80">
        <v>25</v>
      </c>
      <c r="AA80">
        <v>0</v>
      </c>
      <c r="AB80">
        <v>65</v>
      </c>
      <c r="AC80" t="s">
        <v>69</v>
      </c>
      <c r="AD80" t="s">
        <v>52</v>
      </c>
      <c r="AE80" t="s">
        <v>70</v>
      </c>
    </row>
    <row r="81" spans="1:31" x14ac:dyDescent="0.25">
      <c r="A81" t="s">
        <v>230</v>
      </c>
      <c r="B81" t="s">
        <v>231</v>
      </c>
      <c r="C81" t="s">
        <v>212</v>
      </c>
      <c r="D81" t="s">
        <v>34</v>
      </c>
      <c r="E81">
        <v>115</v>
      </c>
      <c r="F81">
        <v>20</v>
      </c>
      <c r="G81">
        <v>91</v>
      </c>
      <c r="H81">
        <v>86</v>
      </c>
      <c r="I81">
        <v>2178.4899999999998</v>
      </c>
      <c r="J81">
        <v>30</v>
      </c>
      <c r="K81" t="s">
        <v>62</v>
      </c>
      <c r="L81" t="s">
        <v>36</v>
      </c>
      <c r="M81" t="s">
        <v>44</v>
      </c>
      <c r="N81" s="1">
        <v>46069</v>
      </c>
      <c r="O81">
        <v>250526.34999999899</v>
      </c>
      <c r="P81">
        <v>1.34</v>
      </c>
      <c r="Q81">
        <v>1</v>
      </c>
      <c r="R81" t="s">
        <v>38</v>
      </c>
      <c r="S81">
        <v>0</v>
      </c>
      <c r="T81">
        <v>0</v>
      </c>
      <c r="U81">
        <v>24</v>
      </c>
      <c r="V81">
        <v>52283.7599999999</v>
      </c>
      <c r="W81">
        <v>52283.7599999999</v>
      </c>
      <c r="X81">
        <v>40</v>
      </c>
      <c r="Y81">
        <v>25</v>
      </c>
      <c r="Z81">
        <v>0</v>
      </c>
      <c r="AA81">
        <v>10</v>
      </c>
      <c r="AB81">
        <v>75</v>
      </c>
      <c r="AC81" t="s">
        <v>51</v>
      </c>
      <c r="AD81" t="s">
        <v>105</v>
      </c>
      <c r="AE81" t="s">
        <v>232</v>
      </c>
    </row>
    <row r="82" spans="1:31" x14ac:dyDescent="0.25">
      <c r="A82" t="s">
        <v>233</v>
      </c>
      <c r="B82" t="s">
        <v>234</v>
      </c>
      <c r="C82" t="s">
        <v>235</v>
      </c>
      <c r="D82" t="s">
        <v>34</v>
      </c>
      <c r="E82">
        <v>144</v>
      </c>
      <c r="F82">
        <v>35</v>
      </c>
      <c r="G82">
        <v>101</v>
      </c>
      <c r="H82">
        <v>57</v>
      </c>
      <c r="I82">
        <v>207.42</v>
      </c>
      <c r="J82">
        <v>45</v>
      </c>
      <c r="K82" t="s">
        <v>35</v>
      </c>
      <c r="L82" t="s">
        <v>59</v>
      </c>
      <c r="M82" t="s">
        <v>63</v>
      </c>
      <c r="N82" s="1">
        <v>46158</v>
      </c>
      <c r="O82">
        <v>29868.48</v>
      </c>
      <c r="P82">
        <v>2.5299999999999998</v>
      </c>
      <c r="Q82">
        <v>1.5</v>
      </c>
      <c r="R82" t="s">
        <v>38</v>
      </c>
      <c r="S82">
        <v>0</v>
      </c>
      <c r="T82">
        <v>0</v>
      </c>
      <c r="U82">
        <v>43</v>
      </c>
      <c r="V82">
        <v>8919.06</v>
      </c>
      <c r="W82">
        <v>8919.06</v>
      </c>
      <c r="X82">
        <v>40</v>
      </c>
      <c r="Y82">
        <v>15</v>
      </c>
      <c r="Z82">
        <v>0</v>
      </c>
      <c r="AA82">
        <v>10</v>
      </c>
      <c r="AB82">
        <v>65</v>
      </c>
      <c r="AC82" t="s">
        <v>51</v>
      </c>
      <c r="AD82" t="s">
        <v>52</v>
      </c>
      <c r="AE82" t="s">
        <v>53</v>
      </c>
    </row>
    <row r="83" spans="1:31" x14ac:dyDescent="0.25">
      <c r="A83" t="s">
        <v>236</v>
      </c>
      <c r="B83" t="s">
        <v>237</v>
      </c>
      <c r="C83" t="s">
        <v>235</v>
      </c>
      <c r="D83" t="s">
        <v>34</v>
      </c>
      <c r="E83">
        <v>7</v>
      </c>
      <c r="F83">
        <v>13</v>
      </c>
      <c r="G83">
        <v>69</v>
      </c>
      <c r="H83">
        <v>8</v>
      </c>
      <c r="I83">
        <v>474.55</v>
      </c>
      <c r="J83">
        <v>3</v>
      </c>
      <c r="K83" t="s">
        <v>62</v>
      </c>
      <c r="L83" t="s">
        <v>48</v>
      </c>
      <c r="M83" t="s">
        <v>44</v>
      </c>
      <c r="N83" s="1">
        <v>46063</v>
      </c>
      <c r="O83">
        <v>3321.85</v>
      </c>
      <c r="P83">
        <v>0.88</v>
      </c>
      <c r="Q83">
        <v>0.1</v>
      </c>
      <c r="R83" t="s">
        <v>38</v>
      </c>
      <c r="S83">
        <v>6</v>
      </c>
      <c r="T83">
        <v>2847.3</v>
      </c>
      <c r="U83">
        <v>0</v>
      </c>
      <c r="V83">
        <v>0</v>
      </c>
      <c r="W83">
        <v>2847.3</v>
      </c>
      <c r="X83">
        <v>25</v>
      </c>
      <c r="Y83">
        <v>25</v>
      </c>
      <c r="Z83">
        <v>0</v>
      </c>
      <c r="AA83">
        <v>0</v>
      </c>
      <c r="AB83">
        <v>50</v>
      </c>
      <c r="AC83" t="s">
        <v>69</v>
      </c>
      <c r="AD83" t="s">
        <v>52</v>
      </c>
      <c r="AE83" t="s">
        <v>70</v>
      </c>
    </row>
    <row r="84" spans="1:31" x14ac:dyDescent="0.25">
      <c r="A84" t="s">
        <v>238</v>
      </c>
      <c r="B84" t="s">
        <v>239</v>
      </c>
      <c r="C84" t="s">
        <v>235</v>
      </c>
      <c r="D84" t="s">
        <v>34</v>
      </c>
      <c r="E84">
        <v>30</v>
      </c>
      <c r="F84">
        <v>24</v>
      </c>
      <c r="G84">
        <v>102</v>
      </c>
      <c r="H84">
        <v>8</v>
      </c>
      <c r="I84">
        <v>1572.02</v>
      </c>
      <c r="J84">
        <v>7</v>
      </c>
      <c r="K84" t="s">
        <v>43</v>
      </c>
      <c r="L84" t="s">
        <v>48</v>
      </c>
      <c r="M84" t="s">
        <v>44</v>
      </c>
      <c r="N84" s="1">
        <v>45994</v>
      </c>
      <c r="O84">
        <v>47160.6</v>
      </c>
      <c r="P84">
        <v>3.75</v>
      </c>
      <c r="Q84">
        <v>0.23</v>
      </c>
      <c r="R84" t="s">
        <v>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25</v>
      </c>
      <c r="Z84">
        <v>0</v>
      </c>
      <c r="AA84">
        <v>0</v>
      </c>
      <c r="AB84">
        <v>25</v>
      </c>
      <c r="AC84" t="s">
        <v>39</v>
      </c>
      <c r="AD84" t="s">
        <v>39</v>
      </c>
      <c r="AE84" t="s">
        <v>40</v>
      </c>
    </row>
    <row r="85" spans="1:31" x14ac:dyDescent="0.25">
      <c r="A85" t="s">
        <v>240</v>
      </c>
      <c r="B85" t="s">
        <v>241</v>
      </c>
      <c r="C85" t="s">
        <v>235</v>
      </c>
      <c r="D85" t="s">
        <v>34</v>
      </c>
      <c r="E85">
        <v>155</v>
      </c>
      <c r="F85">
        <v>33</v>
      </c>
      <c r="G85">
        <v>435</v>
      </c>
      <c r="H85">
        <v>89</v>
      </c>
      <c r="I85">
        <v>44.65</v>
      </c>
      <c r="J85">
        <v>15</v>
      </c>
      <c r="K85" t="s">
        <v>85</v>
      </c>
      <c r="L85" t="s">
        <v>59</v>
      </c>
      <c r="M85" t="s">
        <v>37</v>
      </c>
      <c r="N85" s="1">
        <v>46090</v>
      </c>
      <c r="O85">
        <v>6920.75</v>
      </c>
      <c r="P85">
        <v>1.74</v>
      </c>
      <c r="Q85">
        <v>0.5</v>
      </c>
      <c r="R85" t="s">
        <v>38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5</v>
      </c>
      <c r="Z85">
        <v>0</v>
      </c>
      <c r="AA85">
        <v>5</v>
      </c>
      <c r="AB85">
        <v>10</v>
      </c>
      <c r="AC85" t="s">
        <v>39</v>
      </c>
      <c r="AD85" t="s">
        <v>39</v>
      </c>
      <c r="AE85" t="s">
        <v>40</v>
      </c>
    </row>
    <row r="86" spans="1:31" x14ac:dyDescent="0.25">
      <c r="A86" t="s">
        <v>242</v>
      </c>
      <c r="B86" t="s">
        <v>243</v>
      </c>
      <c r="C86" t="s">
        <v>235</v>
      </c>
      <c r="D86" t="s">
        <v>34</v>
      </c>
      <c r="E86">
        <v>220</v>
      </c>
      <c r="F86">
        <v>22</v>
      </c>
      <c r="G86">
        <v>180</v>
      </c>
      <c r="H86">
        <v>98</v>
      </c>
      <c r="I86">
        <v>132.13</v>
      </c>
      <c r="J86">
        <v>15</v>
      </c>
      <c r="K86" t="s">
        <v>43</v>
      </c>
      <c r="L86" t="s">
        <v>48</v>
      </c>
      <c r="M86" t="s">
        <v>63</v>
      </c>
      <c r="N86" s="1">
        <v>46101</v>
      </c>
      <c r="O86">
        <v>29068.6</v>
      </c>
      <c r="P86">
        <v>2.2400000000000002</v>
      </c>
      <c r="Q86">
        <v>0.5</v>
      </c>
      <c r="R86" t="s">
        <v>38</v>
      </c>
      <c r="S86">
        <v>0</v>
      </c>
      <c r="T86">
        <v>0</v>
      </c>
      <c r="U86">
        <v>40</v>
      </c>
      <c r="V86">
        <v>5285.2</v>
      </c>
      <c r="W86">
        <v>5285.2</v>
      </c>
      <c r="X86">
        <v>40</v>
      </c>
      <c r="Y86">
        <v>15</v>
      </c>
      <c r="Z86">
        <v>0</v>
      </c>
      <c r="AA86">
        <v>5</v>
      </c>
      <c r="AB86">
        <v>60</v>
      </c>
      <c r="AC86" t="s">
        <v>51</v>
      </c>
      <c r="AD86" t="s">
        <v>52</v>
      </c>
      <c r="AE86" t="s">
        <v>53</v>
      </c>
    </row>
    <row r="87" spans="1:31" x14ac:dyDescent="0.25">
      <c r="A87" t="s">
        <v>244</v>
      </c>
      <c r="B87" t="s">
        <v>245</v>
      </c>
      <c r="C87" t="s">
        <v>235</v>
      </c>
      <c r="D87" t="s">
        <v>34</v>
      </c>
      <c r="E87">
        <v>257</v>
      </c>
      <c r="F87">
        <v>61</v>
      </c>
      <c r="G87">
        <v>374</v>
      </c>
      <c r="H87">
        <v>67</v>
      </c>
      <c r="I87">
        <v>88.26</v>
      </c>
      <c r="J87">
        <v>7</v>
      </c>
      <c r="K87" t="s">
        <v>47</v>
      </c>
      <c r="L87" t="s">
        <v>48</v>
      </c>
      <c r="M87" t="s">
        <v>37</v>
      </c>
      <c r="N87" s="1">
        <v>46010</v>
      </c>
      <c r="O87">
        <v>22682.82</v>
      </c>
      <c r="P87">
        <v>3.84</v>
      </c>
      <c r="Q87">
        <v>0.23</v>
      </c>
      <c r="R87" t="s">
        <v>38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5</v>
      </c>
      <c r="Z87">
        <v>0</v>
      </c>
      <c r="AA87">
        <v>0</v>
      </c>
      <c r="AB87">
        <v>5</v>
      </c>
      <c r="AC87" t="s">
        <v>39</v>
      </c>
      <c r="AD87" t="s">
        <v>39</v>
      </c>
      <c r="AE87" t="s">
        <v>40</v>
      </c>
    </row>
    <row r="88" spans="1:31" x14ac:dyDescent="0.25">
      <c r="A88" t="s">
        <v>246</v>
      </c>
      <c r="B88" t="s">
        <v>247</v>
      </c>
      <c r="C88" t="s">
        <v>235</v>
      </c>
      <c r="D88" t="s">
        <v>34</v>
      </c>
      <c r="E88">
        <v>74</v>
      </c>
      <c r="F88">
        <v>73</v>
      </c>
      <c r="G88">
        <v>412</v>
      </c>
      <c r="H88">
        <v>23</v>
      </c>
      <c r="I88">
        <v>77.19</v>
      </c>
      <c r="J88">
        <v>15</v>
      </c>
      <c r="K88" t="s">
        <v>62</v>
      </c>
      <c r="L88" t="s">
        <v>36</v>
      </c>
      <c r="M88" t="s">
        <v>37</v>
      </c>
      <c r="N88" s="1">
        <v>46017</v>
      </c>
      <c r="O88">
        <v>5712.0599999999904</v>
      </c>
      <c r="P88">
        <v>3.22</v>
      </c>
      <c r="Q88">
        <v>0.5</v>
      </c>
      <c r="R88" t="s">
        <v>38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5</v>
      </c>
      <c r="Z88">
        <v>0</v>
      </c>
      <c r="AA88">
        <v>5</v>
      </c>
      <c r="AB88">
        <v>10</v>
      </c>
      <c r="AC88" t="s">
        <v>39</v>
      </c>
      <c r="AD88" t="s">
        <v>39</v>
      </c>
      <c r="AE88" t="s">
        <v>40</v>
      </c>
    </row>
    <row r="89" spans="1:31" x14ac:dyDescent="0.25">
      <c r="A89" t="s">
        <v>248</v>
      </c>
      <c r="B89" t="s">
        <v>249</v>
      </c>
      <c r="C89" t="s">
        <v>235</v>
      </c>
      <c r="D89" t="s">
        <v>34</v>
      </c>
      <c r="E89">
        <v>118</v>
      </c>
      <c r="F89">
        <v>36</v>
      </c>
      <c r="G89">
        <v>215</v>
      </c>
      <c r="H89">
        <v>79</v>
      </c>
      <c r="I89">
        <v>238.58</v>
      </c>
      <c r="J89">
        <v>10</v>
      </c>
      <c r="K89" t="s">
        <v>35</v>
      </c>
      <c r="L89" t="s">
        <v>36</v>
      </c>
      <c r="M89" t="s">
        <v>63</v>
      </c>
      <c r="N89" s="1">
        <v>46085</v>
      </c>
      <c r="O89">
        <v>28152.44</v>
      </c>
      <c r="P89">
        <v>1.49</v>
      </c>
      <c r="Q89">
        <v>0.33</v>
      </c>
      <c r="R89" t="s">
        <v>38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15</v>
      </c>
      <c r="Z89">
        <v>0</v>
      </c>
      <c r="AA89">
        <v>0</v>
      </c>
      <c r="AB89">
        <v>15</v>
      </c>
      <c r="AC89" t="s">
        <v>39</v>
      </c>
      <c r="AD89" t="s">
        <v>39</v>
      </c>
      <c r="AE89" t="s">
        <v>40</v>
      </c>
    </row>
    <row r="90" spans="1:31" x14ac:dyDescent="0.25">
      <c r="A90" t="s">
        <v>250</v>
      </c>
      <c r="B90" t="s">
        <v>251</v>
      </c>
      <c r="C90" t="s">
        <v>235</v>
      </c>
      <c r="D90" t="s">
        <v>34</v>
      </c>
      <c r="E90">
        <v>588</v>
      </c>
      <c r="F90">
        <v>70</v>
      </c>
      <c r="G90">
        <v>392</v>
      </c>
      <c r="H90">
        <v>224</v>
      </c>
      <c r="I90">
        <v>38.15</v>
      </c>
      <c r="J90">
        <v>7</v>
      </c>
      <c r="K90" t="s">
        <v>85</v>
      </c>
      <c r="L90" t="s">
        <v>36</v>
      </c>
      <c r="M90" t="s">
        <v>37</v>
      </c>
      <c r="N90" s="1">
        <v>46105</v>
      </c>
      <c r="O90">
        <v>22432.2</v>
      </c>
      <c r="P90">
        <v>2.62</v>
      </c>
      <c r="Q90">
        <v>0.23</v>
      </c>
      <c r="R90" t="s">
        <v>38</v>
      </c>
      <c r="S90">
        <v>0</v>
      </c>
      <c r="T90">
        <v>0</v>
      </c>
      <c r="U90">
        <v>196</v>
      </c>
      <c r="V90">
        <v>7477.4</v>
      </c>
      <c r="W90">
        <v>7477.4</v>
      </c>
      <c r="X90">
        <v>40</v>
      </c>
      <c r="Y90">
        <v>5</v>
      </c>
      <c r="Z90">
        <v>0</v>
      </c>
      <c r="AA90">
        <v>0</v>
      </c>
      <c r="AB90">
        <v>45</v>
      </c>
      <c r="AC90" t="s">
        <v>51</v>
      </c>
      <c r="AD90" t="s">
        <v>52</v>
      </c>
      <c r="AE90" t="s">
        <v>53</v>
      </c>
    </row>
    <row r="91" spans="1:31" x14ac:dyDescent="0.25">
      <c r="A91" t="s">
        <v>252</v>
      </c>
      <c r="B91" t="s">
        <v>253</v>
      </c>
      <c r="C91" t="s">
        <v>235</v>
      </c>
      <c r="D91" t="s">
        <v>34</v>
      </c>
      <c r="E91">
        <v>385</v>
      </c>
      <c r="F91">
        <v>141</v>
      </c>
      <c r="G91">
        <v>272</v>
      </c>
      <c r="H91">
        <v>80</v>
      </c>
      <c r="I91">
        <v>53.94</v>
      </c>
      <c r="J91">
        <v>45</v>
      </c>
      <c r="K91" t="s">
        <v>112</v>
      </c>
      <c r="L91" t="s">
        <v>48</v>
      </c>
      <c r="M91" t="s">
        <v>37</v>
      </c>
      <c r="N91" s="1">
        <v>46228</v>
      </c>
      <c r="O91">
        <v>20766.8999999999</v>
      </c>
      <c r="P91">
        <v>4.8099999999999996</v>
      </c>
      <c r="Q91">
        <v>1.5</v>
      </c>
      <c r="R91" t="s">
        <v>38</v>
      </c>
      <c r="S91">
        <v>0</v>
      </c>
      <c r="T91">
        <v>0</v>
      </c>
      <c r="U91">
        <v>113</v>
      </c>
      <c r="V91">
        <v>6095.2199999999903</v>
      </c>
      <c r="W91">
        <v>6095.2199999999903</v>
      </c>
      <c r="X91">
        <v>40</v>
      </c>
      <c r="Y91">
        <v>5</v>
      </c>
      <c r="Z91">
        <v>0</v>
      </c>
      <c r="AA91">
        <v>10</v>
      </c>
      <c r="AB91">
        <v>55</v>
      </c>
      <c r="AC91" t="s">
        <v>51</v>
      </c>
      <c r="AD91" t="s">
        <v>52</v>
      </c>
      <c r="AE91" t="s">
        <v>53</v>
      </c>
    </row>
    <row r="92" spans="1:31" x14ac:dyDescent="0.25">
      <c r="A92" t="s">
        <v>254</v>
      </c>
      <c r="B92" t="s">
        <v>255</v>
      </c>
      <c r="C92" t="s">
        <v>256</v>
      </c>
      <c r="D92" t="s">
        <v>34</v>
      </c>
      <c r="E92">
        <v>495</v>
      </c>
      <c r="F92">
        <v>39</v>
      </c>
      <c r="G92">
        <v>359</v>
      </c>
      <c r="H92">
        <v>174</v>
      </c>
      <c r="I92">
        <v>87.36</v>
      </c>
      <c r="J92">
        <v>30</v>
      </c>
      <c r="K92" t="s">
        <v>47</v>
      </c>
      <c r="L92" t="s">
        <v>48</v>
      </c>
      <c r="M92" t="s">
        <v>37</v>
      </c>
      <c r="N92" s="1">
        <v>46065</v>
      </c>
      <c r="O92">
        <v>43243.199999999997</v>
      </c>
      <c r="P92">
        <v>2.84</v>
      </c>
      <c r="Q92">
        <v>1</v>
      </c>
      <c r="R92" t="s">
        <v>38</v>
      </c>
      <c r="S92">
        <v>0</v>
      </c>
      <c r="T92">
        <v>0</v>
      </c>
      <c r="U92">
        <v>136</v>
      </c>
      <c r="V92">
        <v>11880.96</v>
      </c>
      <c r="W92">
        <v>11880.96</v>
      </c>
      <c r="X92">
        <v>40</v>
      </c>
      <c r="Y92">
        <v>5</v>
      </c>
      <c r="Z92">
        <v>0</v>
      </c>
      <c r="AA92">
        <v>10</v>
      </c>
      <c r="AB92">
        <v>55</v>
      </c>
      <c r="AC92" t="s">
        <v>51</v>
      </c>
      <c r="AD92" t="s">
        <v>52</v>
      </c>
      <c r="AE92" t="s">
        <v>53</v>
      </c>
    </row>
    <row r="93" spans="1:31" x14ac:dyDescent="0.25">
      <c r="A93" t="s">
        <v>257</v>
      </c>
      <c r="B93" t="s">
        <v>258</v>
      </c>
      <c r="C93" t="s">
        <v>256</v>
      </c>
      <c r="D93" t="s">
        <v>193</v>
      </c>
      <c r="E93">
        <v>305</v>
      </c>
      <c r="F93">
        <v>78</v>
      </c>
      <c r="G93">
        <v>320</v>
      </c>
      <c r="H93">
        <v>184</v>
      </c>
      <c r="I93">
        <v>77.62</v>
      </c>
      <c r="J93">
        <v>3</v>
      </c>
      <c r="K93" t="s">
        <v>47</v>
      </c>
      <c r="L93" t="s">
        <v>36</v>
      </c>
      <c r="M93" t="s">
        <v>37</v>
      </c>
      <c r="N93" s="1">
        <v>46073</v>
      </c>
      <c r="O93">
        <v>23674.1</v>
      </c>
      <c r="P93">
        <v>1.66</v>
      </c>
      <c r="Q93">
        <v>0.1</v>
      </c>
      <c r="R93" t="s">
        <v>38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5</v>
      </c>
      <c r="Z93">
        <v>0</v>
      </c>
      <c r="AA93">
        <v>0</v>
      </c>
      <c r="AB93">
        <v>5</v>
      </c>
      <c r="AC93" t="s">
        <v>39</v>
      </c>
      <c r="AD93" t="s">
        <v>39</v>
      </c>
      <c r="AE93" t="s">
        <v>40</v>
      </c>
    </row>
    <row r="94" spans="1:31" x14ac:dyDescent="0.25">
      <c r="A94" t="s">
        <v>259</v>
      </c>
      <c r="B94" t="s">
        <v>260</v>
      </c>
      <c r="C94" t="s">
        <v>256</v>
      </c>
      <c r="D94" t="s">
        <v>34</v>
      </c>
      <c r="E94">
        <v>71</v>
      </c>
      <c r="F94">
        <v>59</v>
      </c>
      <c r="G94">
        <v>185</v>
      </c>
      <c r="H94">
        <v>43</v>
      </c>
      <c r="I94">
        <v>83.04</v>
      </c>
      <c r="J94">
        <v>5</v>
      </c>
      <c r="K94" t="s">
        <v>112</v>
      </c>
      <c r="L94" t="s">
        <v>59</v>
      </c>
      <c r="M94" t="s">
        <v>37</v>
      </c>
      <c r="N94" s="1">
        <v>46118</v>
      </c>
      <c r="O94">
        <v>5895.84</v>
      </c>
      <c r="P94">
        <v>1.65</v>
      </c>
      <c r="Q94">
        <v>0.17</v>
      </c>
      <c r="R94" t="s">
        <v>38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5</v>
      </c>
      <c r="Z94">
        <v>0</v>
      </c>
      <c r="AA94">
        <v>0</v>
      </c>
      <c r="AB94">
        <v>5</v>
      </c>
      <c r="AC94" t="s">
        <v>39</v>
      </c>
      <c r="AD94" t="s">
        <v>39</v>
      </c>
      <c r="AE94" t="s">
        <v>40</v>
      </c>
    </row>
    <row r="95" spans="1:31" x14ac:dyDescent="0.25">
      <c r="A95" t="s">
        <v>261</v>
      </c>
      <c r="B95" t="s">
        <v>262</v>
      </c>
      <c r="C95" t="s">
        <v>256</v>
      </c>
      <c r="D95" t="s">
        <v>34</v>
      </c>
      <c r="E95">
        <v>58</v>
      </c>
      <c r="F95">
        <v>35</v>
      </c>
      <c r="G95">
        <v>89</v>
      </c>
      <c r="H95">
        <v>23</v>
      </c>
      <c r="I95">
        <v>51.87</v>
      </c>
      <c r="J95">
        <v>10</v>
      </c>
      <c r="K95" t="s">
        <v>35</v>
      </c>
      <c r="L95" t="s">
        <v>59</v>
      </c>
      <c r="M95" t="s">
        <v>63</v>
      </c>
      <c r="N95" s="1">
        <v>46096</v>
      </c>
      <c r="O95">
        <v>3008.46</v>
      </c>
      <c r="P95">
        <v>2.52</v>
      </c>
      <c r="Q95">
        <v>0.33</v>
      </c>
      <c r="R95" t="s">
        <v>38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15</v>
      </c>
      <c r="Z95">
        <v>0</v>
      </c>
      <c r="AA95">
        <v>0</v>
      </c>
      <c r="AB95">
        <v>15</v>
      </c>
      <c r="AC95" t="s">
        <v>39</v>
      </c>
      <c r="AD95" t="s">
        <v>39</v>
      </c>
      <c r="AE95" t="s">
        <v>40</v>
      </c>
    </row>
    <row r="96" spans="1:31" x14ac:dyDescent="0.25">
      <c r="A96" t="s">
        <v>263</v>
      </c>
      <c r="B96" t="s">
        <v>264</v>
      </c>
      <c r="C96" t="s">
        <v>256</v>
      </c>
      <c r="D96" t="s">
        <v>34</v>
      </c>
      <c r="E96">
        <v>100</v>
      </c>
      <c r="F96">
        <v>52</v>
      </c>
      <c r="G96">
        <v>172</v>
      </c>
      <c r="H96">
        <v>52</v>
      </c>
      <c r="I96">
        <v>17.850000000000001</v>
      </c>
      <c r="J96">
        <v>10</v>
      </c>
      <c r="K96" t="s">
        <v>112</v>
      </c>
      <c r="L96" t="s">
        <v>36</v>
      </c>
      <c r="M96" t="s">
        <v>37</v>
      </c>
      <c r="N96" s="1">
        <v>46104</v>
      </c>
      <c r="O96">
        <v>1785</v>
      </c>
      <c r="P96">
        <v>1.92</v>
      </c>
      <c r="Q96">
        <v>0.33</v>
      </c>
      <c r="R96" t="s">
        <v>38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5</v>
      </c>
      <c r="Z96">
        <v>0</v>
      </c>
      <c r="AA96">
        <v>0</v>
      </c>
      <c r="AB96">
        <v>5</v>
      </c>
      <c r="AC96" t="s">
        <v>39</v>
      </c>
      <c r="AD96" t="s">
        <v>39</v>
      </c>
      <c r="AE96" t="s">
        <v>40</v>
      </c>
    </row>
    <row r="97" spans="1:31" x14ac:dyDescent="0.25">
      <c r="A97" t="s">
        <v>265</v>
      </c>
      <c r="B97" t="s">
        <v>266</v>
      </c>
      <c r="C97" t="s">
        <v>256</v>
      </c>
      <c r="D97" t="s">
        <v>193</v>
      </c>
      <c r="E97">
        <v>103</v>
      </c>
      <c r="F97">
        <v>31</v>
      </c>
      <c r="G97">
        <v>73</v>
      </c>
      <c r="H97">
        <v>71</v>
      </c>
      <c r="I97">
        <v>144.13</v>
      </c>
      <c r="J97">
        <v>7</v>
      </c>
      <c r="K97" t="s">
        <v>62</v>
      </c>
      <c r="L97" t="s">
        <v>48</v>
      </c>
      <c r="M97" t="s">
        <v>63</v>
      </c>
      <c r="N97" s="1">
        <v>46213</v>
      </c>
      <c r="O97">
        <v>14845.39</v>
      </c>
      <c r="P97">
        <v>1.45</v>
      </c>
      <c r="Q97">
        <v>0.23</v>
      </c>
      <c r="R97" t="s">
        <v>38</v>
      </c>
      <c r="S97">
        <v>0</v>
      </c>
      <c r="T97">
        <v>0</v>
      </c>
      <c r="U97">
        <v>30</v>
      </c>
      <c r="V97">
        <v>4323.8999999999996</v>
      </c>
      <c r="W97">
        <v>4323.8999999999996</v>
      </c>
      <c r="X97">
        <v>25</v>
      </c>
      <c r="Y97">
        <v>15</v>
      </c>
      <c r="Z97">
        <v>0</v>
      </c>
      <c r="AA97">
        <v>0</v>
      </c>
      <c r="AB97">
        <v>40</v>
      </c>
      <c r="AC97" t="s">
        <v>51</v>
      </c>
      <c r="AD97" t="s">
        <v>52</v>
      </c>
      <c r="AE97" t="s">
        <v>53</v>
      </c>
    </row>
    <row r="98" spans="1:31" x14ac:dyDescent="0.25">
      <c r="A98" t="s">
        <v>267</v>
      </c>
      <c r="B98" t="s">
        <v>268</v>
      </c>
      <c r="C98" t="s">
        <v>256</v>
      </c>
      <c r="D98" t="s">
        <v>34</v>
      </c>
      <c r="E98">
        <v>516</v>
      </c>
      <c r="F98">
        <v>84</v>
      </c>
      <c r="G98">
        <v>517</v>
      </c>
      <c r="H98">
        <v>170</v>
      </c>
      <c r="I98">
        <v>28.33</v>
      </c>
      <c r="J98">
        <v>30</v>
      </c>
      <c r="K98" t="s">
        <v>62</v>
      </c>
      <c r="L98" t="s">
        <v>36</v>
      </c>
      <c r="M98" t="s">
        <v>37</v>
      </c>
      <c r="N98" s="1">
        <v>46013</v>
      </c>
      <c r="O98">
        <v>14618.279999999901</v>
      </c>
      <c r="P98">
        <v>3.04</v>
      </c>
      <c r="Q98">
        <v>1</v>
      </c>
      <c r="R98" t="s">
        <v>38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5</v>
      </c>
      <c r="Z98">
        <v>0</v>
      </c>
      <c r="AA98">
        <v>10</v>
      </c>
      <c r="AB98">
        <v>15</v>
      </c>
      <c r="AC98" t="s">
        <v>39</v>
      </c>
      <c r="AD98" t="s">
        <v>39</v>
      </c>
      <c r="AE98" t="s">
        <v>40</v>
      </c>
    </row>
    <row r="99" spans="1:31" x14ac:dyDescent="0.25">
      <c r="A99" t="s">
        <v>269</v>
      </c>
      <c r="B99" t="s">
        <v>270</v>
      </c>
      <c r="C99" t="s">
        <v>256</v>
      </c>
      <c r="D99" t="s">
        <v>34</v>
      </c>
      <c r="E99">
        <v>0</v>
      </c>
      <c r="F99">
        <v>51</v>
      </c>
      <c r="G99">
        <v>166</v>
      </c>
      <c r="H99">
        <v>16</v>
      </c>
      <c r="I99">
        <v>274.49</v>
      </c>
      <c r="J99">
        <v>30</v>
      </c>
      <c r="K99" t="s">
        <v>85</v>
      </c>
      <c r="L99" t="s">
        <v>59</v>
      </c>
      <c r="M99" t="s">
        <v>63</v>
      </c>
      <c r="N99" s="1">
        <v>46161</v>
      </c>
      <c r="O99">
        <v>0</v>
      </c>
      <c r="P99">
        <v>0</v>
      </c>
      <c r="Q99">
        <v>1</v>
      </c>
      <c r="R99" t="s">
        <v>82</v>
      </c>
      <c r="S99">
        <v>51</v>
      </c>
      <c r="T99">
        <v>13998.99</v>
      </c>
      <c r="U99">
        <v>0</v>
      </c>
      <c r="V99">
        <v>0</v>
      </c>
      <c r="W99">
        <v>13998.99</v>
      </c>
      <c r="X99">
        <v>40</v>
      </c>
      <c r="Y99">
        <v>15</v>
      </c>
      <c r="Z99">
        <v>25</v>
      </c>
      <c r="AA99">
        <v>10</v>
      </c>
      <c r="AB99">
        <v>90</v>
      </c>
      <c r="AC99" t="s">
        <v>69</v>
      </c>
      <c r="AD99" t="s">
        <v>105</v>
      </c>
      <c r="AE99" t="s">
        <v>106</v>
      </c>
    </row>
    <row r="100" spans="1:31" x14ac:dyDescent="0.25">
      <c r="A100" t="s">
        <v>271</v>
      </c>
      <c r="B100" t="s">
        <v>272</v>
      </c>
      <c r="C100" t="s">
        <v>256</v>
      </c>
      <c r="D100" t="s">
        <v>34</v>
      </c>
      <c r="E100">
        <v>573</v>
      </c>
      <c r="F100">
        <v>36</v>
      </c>
      <c r="G100">
        <v>426</v>
      </c>
      <c r="H100">
        <v>352</v>
      </c>
      <c r="I100">
        <v>70.489999999999995</v>
      </c>
      <c r="J100">
        <v>10</v>
      </c>
      <c r="K100" t="s">
        <v>66</v>
      </c>
      <c r="L100" t="s">
        <v>36</v>
      </c>
      <c r="M100" t="s">
        <v>37</v>
      </c>
      <c r="N100" s="1">
        <v>46076</v>
      </c>
      <c r="O100">
        <v>40390.769999999997</v>
      </c>
      <c r="P100">
        <v>1.63</v>
      </c>
      <c r="Q100">
        <v>0.33</v>
      </c>
      <c r="R100" t="s">
        <v>38</v>
      </c>
      <c r="S100">
        <v>0</v>
      </c>
      <c r="T100">
        <v>0</v>
      </c>
      <c r="U100">
        <v>147</v>
      </c>
      <c r="V100">
        <v>10362.029999999901</v>
      </c>
      <c r="W100">
        <v>10362.029999999901</v>
      </c>
      <c r="X100">
        <v>40</v>
      </c>
      <c r="Y100">
        <v>5</v>
      </c>
      <c r="Z100">
        <v>0</v>
      </c>
      <c r="AA100">
        <v>0</v>
      </c>
      <c r="AB100">
        <v>45</v>
      </c>
      <c r="AC100" t="s">
        <v>51</v>
      </c>
      <c r="AD100" t="s">
        <v>52</v>
      </c>
      <c r="AE100" t="s">
        <v>53</v>
      </c>
    </row>
    <row r="101" spans="1:31" x14ac:dyDescent="0.25">
      <c r="A101" t="s">
        <v>273</v>
      </c>
      <c r="B101" t="s">
        <v>274</v>
      </c>
      <c r="C101" t="s">
        <v>256</v>
      </c>
      <c r="D101" t="s">
        <v>193</v>
      </c>
      <c r="E101">
        <v>914</v>
      </c>
      <c r="F101">
        <v>116</v>
      </c>
      <c r="G101">
        <v>565</v>
      </c>
      <c r="H101">
        <v>596</v>
      </c>
      <c r="I101">
        <v>56.64</v>
      </c>
      <c r="J101">
        <v>5</v>
      </c>
      <c r="K101" t="s">
        <v>85</v>
      </c>
      <c r="L101" t="s">
        <v>48</v>
      </c>
      <c r="M101" t="s">
        <v>37</v>
      </c>
      <c r="N101" s="1">
        <v>46000</v>
      </c>
      <c r="O101">
        <v>51768.959999999999</v>
      </c>
      <c r="P101">
        <v>1.53</v>
      </c>
      <c r="Q101">
        <v>0.17</v>
      </c>
      <c r="R101" t="s">
        <v>38</v>
      </c>
      <c r="S101">
        <v>0</v>
      </c>
      <c r="T101">
        <v>0</v>
      </c>
      <c r="U101">
        <v>349</v>
      </c>
      <c r="V101">
        <v>19767.36</v>
      </c>
      <c r="W101">
        <v>19767.36</v>
      </c>
      <c r="X101">
        <v>40</v>
      </c>
      <c r="Y101">
        <v>5</v>
      </c>
      <c r="Z101">
        <v>0</v>
      </c>
      <c r="AA101">
        <v>0</v>
      </c>
      <c r="AB101">
        <v>45</v>
      </c>
      <c r="AC101" t="s">
        <v>51</v>
      </c>
      <c r="AD101" t="s">
        <v>52</v>
      </c>
      <c r="AE101" t="s">
        <v>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4258-3268-433A-BCC2-78F0C339DAE3}">
  <dimension ref="A1:C33"/>
  <sheetViews>
    <sheetView workbookViewId="0">
      <selection activeCell="F15" sqref="F15"/>
    </sheetView>
  </sheetViews>
  <sheetFormatPr defaultRowHeight="15" x14ac:dyDescent="0.25"/>
  <cols>
    <col min="1" max="1" width="42.140625" bestFit="1" customWidth="1"/>
    <col min="2" max="2" width="25.5703125" bestFit="1" customWidth="1"/>
    <col min="3" max="3" width="23.42578125" bestFit="1" customWidth="1"/>
    <col min="4" max="4" width="16.140625" bestFit="1" customWidth="1"/>
    <col min="5" max="5" width="7" bestFit="1" customWidth="1"/>
    <col min="6" max="6" width="10.7109375" bestFit="1" customWidth="1"/>
  </cols>
  <sheetData>
    <row r="1" spans="1:3" x14ac:dyDescent="0.25">
      <c r="A1" s="3" t="s">
        <v>28</v>
      </c>
      <c r="B1" t="s">
        <v>69</v>
      </c>
    </row>
    <row r="3" spans="1:3" x14ac:dyDescent="0.25">
      <c r="A3" s="3" t="s">
        <v>275</v>
      </c>
      <c r="B3" t="s">
        <v>281</v>
      </c>
      <c r="C3" t="s">
        <v>280</v>
      </c>
    </row>
    <row r="4" spans="1:3" x14ac:dyDescent="0.25">
      <c r="A4" s="4" t="s">
        <v>106</v>
      </c>
      <c r="B4">
        <v>351</v>
      </c>
      <c r="C4" s="7">
        <v>63435.079999999994</v>
      </c>
    </row>
    <row r="5" spans="1:3" x14ac:dyDescent="0.25">
      <c r="A5" s="5" t="s">
        <v>207</v>
      </c>
      <c r="B5">
        <v>48</v>
      </c>
      <c r="C5" s="7">
        <v>16179.84</v>
      </c>
    </row>
    <row r="6" spans="1:3" x14ac:dyDescent="0.25">
      <c r="A6" s="5" t="s">
        <v>270</v>
      </c>
      <c r="B6">
        <v>51</v>
      </c>
      <c r="C6" s="7">
        <v>13998.99</v>
      </c>
    </row>
    <row r="7" spans="1:3" x14ac:dyDescent="0.25">
      <c r="A7" s="5" t="s">
        <v>161</v>
      </c>
      <c r="B7">
        <v>106</v>
      </c>
      <c r="C7" s="7">
        <v>9426.58</v>
      </c>
    </row>
    <row r="8" spans="1:3" x14ac:dyDescent="0.25">
      <c r="A8" s="5" t="s">
        <v>104</v>
      </c>
      <c r="B8">
        <v>39</v>
      </c>
      <c r="C8" s="7">
        <v>9257.0400000000009</v>
      </c>
    </row>
    <row r="9" spans="1:3" x14ac:dyDescent="0.25">
      <c r="A9" s="5" t="s">
        <v>209</v>
      </c>
      <c r="B9">
        <v>21</v>
      </c>
      <c r="C9" s="7">
        <v>6936.09</v>
      </c>
    </row>
    <row r="10" spans="1:3" x14ac:dyDescent="0.25">
      <c r="A10" s="5" t="s">
        <v>134</v>
      </c>
      <c r="B10">
        <v>60</v>
      </c>
      <c r="C10" s="7">
        <v>5008.2</v>
      </c>
    </row>
    <row r="11" spans="1:3" x14ac:dyDescent="0.25">
      <c r="A11" s="5" t="s">
        <v>225</v>
      </c>
      <c r="B11">
        <v>26</v>
      </c>
      <c r="C11" s="7">
        <v>2628.34</v>
      </c>
    </row>
    <row r="12" spans="1:3" x14ac:dyDescent="0.25">
      <c r="A12" s="4" t="s">
        <v>70</v>
      </c>
      <c r="B12">
        <v>185</v>
      </c>
      <c r="C12" s="7">
        <v>39856.869999999995</v>
      </c>
    </row>
    <row r="13" spans="1:3" x14ac:dyDescent="0.25">
      <c r="A13" s="5" t="s">
        <v>108</v>
      </c>
      <c r="B13">
        <v>31</v>
      </c>
      <c r="C13" s="7">
        <v>13407.5</v>
      </c>
    </row>
    <row r="14" spans="1:3" x14ac:dyDescent="0.25">
      <c r="A14" s="5" t="s">
        <v>132</v>
      </c>
      <c r="B14">
        <v>4</v>
      </c>
      <c r="C14" s="7">
        <v>4144.24</v>
      </c>
    </row>
    <row r="15" spans="1:3" x14ac:dyDescent="0.25">
      <c r="A15" s="5" t="s">
        <v>93</v>
      </c>
      <c r="B15">
        <v>2</v>
      </c>
      <c r="C15" s="7">
        <v>3325</v>
      </c>
    </row>
    <row r="16" spans="1:3" x14ac:dyDescent="0.25">
      <c r="A16" s="5" t="s">
        <v>192</v>
      </c>
      <c r="B16">
        <v>43</v>
      </c>
      <c r="C16" s="7">
        <v>3197.91</v>
      </c>
    </row>
    <row r="17" spans="1:3" x14ac:dyDescent="0.25">
      <c r="A17" s="5" t="s">
        <v>155</v>
      </c>
      <c r="B17">
        <v>8</v>
      </c>
      <c r="C17" s="7">
        <v>2965.52</v>
      </c>
    </row>
    <row r="18" spans="1:3" x14ac:dyDescent="0.25">
      <c r="A18" s="5" t="s">
        <v>229</v>
      </c>
      <c r="B18">
        <v>20</v>
      </c>
      <c r="C18" s="7">
        <v>2853</v>
      </c>
    </row>
    <row r="19" spans="1:3" x14ac:dyDescent="0.25">
      <c r="A19" s="5" t="s">
        <v>237</v>
      </c>
      <c r="B19">
        <v>6</v>
      </c>
      <c r="C19" s="7">
        <v>2847.3</v>
      </c>
    </row>
    <row r="20" spans="1:3" x14ac:dyDescent="0.25">
      <c r="A20" s="5" t="s">
        <v>68</v>
      </c>
      <c r="B20">
        <v>19</v>
      </c>
      <c r="C20" s="7">
        <v>2403.5</v>
      </c>
    </row>
    <row r="21" spans="1:3" x14ac:dyDescent="0.25">
      <c r="A21" s="5" t="s">
        <v>149</v>
      </c>
      <c r="B21">
        <v>8</v>
      </c>
      <c r="C21" s="7">
        <v>1639.84</v>
      </c>
    </row>
    <row r="22" spans="1:3" x14ac:dyDescent="0.25">
      <c r="A22" s="5" t="s">
        <v>81</v>
      </c>
      <c r="B22">
        <v>15</v>
      </c>
      <c r="C22" s="7">
        <v>1572.6</v>
      </c>
    </row>
    <row r="23" spans="1:3" x14ac:dyDescent="0.25">
      <c r="A23" s="5" t="s">
        <v>116</v>
      </c>
      <c r="B23">
        <v>29</v>
      </c>
      <c r="C23" s="7">
        <v>1500.46</v>
      </c>
    </row>
    <row r="24" spans="1:3" x14ac:dyDescent="0.25">
      <c r="A24" s="4" t="s">
        <v>77</v>
      </c>
      <c r="B24">
        <v>202</v>
      </c>
      <c r="C24" s="7">
        <v>5123.0599999999886</v>
      </c>
    </row>
    <row r="25" spans="1:3" x14ac:dyDescent="0.25">
      <c r="A25" s="5" t="s">
        <v>182</v>
      </c>
      <c r="B25">
        <v>62</v>
      </c>
      <c r="C25" s="7">
        <v>1425.3799999999901</v>
      </c>
    </row>
    <row r="26" spans="1:3" x14ac:dyDescent="0.25">
      <c r="A26" s="5" t="s">
        <v>205</v>
      </c>
      <c r="B26">
        <v>49</v>
      </c>
      <c r="C26" s="7">
        <v>1266.1600000000001</v>
      </c>
    </row>
    <row r="27" spans="1:3" x14ac:dyDescent="0.25">
      <c r="A27" s="5" t="s">
        <v>142</v>
      </c>
      <c r="B27">
        <v>27</v>
      </c>
      <c r="C27" s="7">
        <v>674.729999999999</v>
      </c>
    </row>
    <row r="28" spans="1:3" x14ac:dyDescent="0.25">
      <c r="A28" s="5" t="s">
        <v>99</v>
      </c>
      <c r="B28">
        <v>3</v>
      </c>
      <c r="C28" s="7">
        <v>537.33000000000004</v>
      </c>
    </row>
    <row r="29" spans="1:3" x14ac:dyDescent="0.25">
      <c r="A29" s="5" t="s">
        <v>102</v>
      </c>
      <c r="B29">
        <v>1</v>
      </c>
      <c r="C29" s="7">
        <v>418.54</v>
      </c>
    </row>
    <row r="30" spans="1:3" x14ac:dyDescent="0.25">
      <c r="A30" s="5" t="s">
        <v>74</v>
      </c>
      <c r="B30">
        <v>5</v>
      </c>
      <c r="C30" s="7">
        <v>388.9</v>
      </c>
    </row>
    <row r="31" spans="1:3" x14ac:dyDescent="0.25">
      <c r="A31" s="5" t="s">
        <v>176</v>
      </c>
      <c r="B31">
        <v>52</v>
      </c>
      <c r="C31" s="7">
        <v>227.76</v>
      </c>
    </row>
    <row r="32" spans="1:3" x14ac:dyDescent="0.25">
      <c r="A32" s="5" t="s">
        <v>114</v>
      </c>
      <c r="B32">
        <v>3</v>
      </c>
      <c r="C32" s="7">
        <v>184.26</v>
      </c>
    </row>
    <row r="33" spans="1:3" x14ac:dyDescent="0.25">
      <c r="A33" s="4" t="s">
        <v>276</v>
      </c>
      <c r="B33">
        <v>738</v>
      </c>
      <c r="C33" s="7">
        <v>108415.00999999998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90CE-42CF-4448-8FCC-5D4F85B12B02}">
  <dimension ref="A1:C33"/>
  <sheetViews>
    <sheetView workbookViewId="0">
      <selection activeCell="C35" sqref="C35"/>
    </sheetView>
  </sheetViews>
  <sheetFormatPr defaultRowHeight="15" x14ac:dyDescent="0.25"/>
  <cols>
    <col min="1" max="1" width="44.28515625" bestFit="1" customWidth="1"/>
    <col min="2" max="2" width="27.7109375" bestFit="1" customWidth="1"/>
    <col min="3" max="3" width="21.85546875" bestFit="1" customWidth="1"/>
    <col min="4" max="4" width="8.140625" bestFit="1" customWidth="1"/>
    <col min="5" max="6" width="9.140625" bestFit="1" customWidth="1"/>
    <col min="26" max="27" width="10.140625" bestFit="1" customWidth="1"/>
    <col min="28" max="28" width="11.7109375" bestFit="1" customWidth="1"/>
  </cols>
  <sheetData>
    <row r="1" spans="1:3" x14ac:dyDescent="0.25">
      <c r="A1" s="3" t="s">
        <v>28</v>
      </c>
      <c r="B1" t="s">
        <v>51</v>
      </c>
    </row>
    <row r="3" spans="1:3" x14ac:dyDescent="0.25">
      <c r="A3" s="3" t="s">
        <v>275</v>
      </c>
      <c r="B3" t="s">
        <v>279</v>
      </c>
      <c r="C3" t="s">
        <v>278</v>
      </c>
    </row>
    <row r="4" spans="1:3" x14ac:dyDescent="0.25">
      <c r="A4" s="4" t="s">
        <v>232</v>
      </c>
      <c r="B4" s="6">
        <v>24</v>
      </c>
      <c r="C4" s="7">
        <v>52283.7599999999</v>
      </c>
    </row>
    <row r="5" spans="1:3" x14ac:dyDescent="0.25">
      <c r="A5" s="5" t="s">
        <v>231</v>
      </c>
      <c r="B5" s="6">
        <v>24</v>
      </c>
      <c r="C5" s="7">
        <v>52283.7599999999</v>
      </c>
    </row>
    <row r="6" spans="1:3" x14ac:dyDescent="0.25">
      <c r="A6" s="4" t="s">
        <v>53</v>
      </c>
      <c r="B6" s="6">
        <v>2440</v>
      </c>
      <c r="C6" s="7">
        <v>337816.02999999991</v>
      </c>
    </row>
    <row r="7" spans="1:3" x14ac:dyDescent="0.25">
      <c r="A7" s="5" t="s">
        <v>174</v>
      </c>
      <c r="B7" s="6">
        <v>120</v>
      </c>
      <c r="C7" s="7">
        <v>6228</v>
      </c>
    </row>
    <row r="8" spans="1:3" x14ac:dyDescent="0.25">
      <c r="A8" s="5" t="s">
        <v>234</v>
      </c>
      <c r="B8" s="6">
        <v>43</v>
      </c>
      <c r="C8" s="7">
        <v>8919.06</v>
      </c>
    </row>
    <row r="9" spans="1:3" x14ac:dyDescent="0.25">
      <c r="A9" s="5" t="s">
        <v>251</v>
      </c>
      <c r="B9" s="6">
        <v>196</v>
      </c>
      <c r="C9" s="7">
        <v>7477.4</v>
      </c>
    </row>
    <row r="10" spans="1:3" x14ac:dyDescent="0.25">
      <c r="A10" s="5" t="s">
        <v>243</v>
      </c>
      <c r="B10" s="6">
        <v>40</v>
      </c>
      <c r="C10" s="7">
        <v>5285.2</v>
      </c>
    </row>
    <row r="11" spans="1:3" x14ac:dyDescent="0.25">
      <c r="A11" s="5" t="s">
        <v>255</v>
      </c>
      <c r="B11" s="6">
        <v>136</v>
      </c>
      <c r="C11" s="7">
        <v>11880.96</v>
      </c>
    </row>
    <row r="12" spans="1:3" x14ac:dyDescent="0.25">
      <c r="A12" s="5" t="s">
        <v>272</v>
      </c>
      <c r="B12" s="6">
        <v>147</v>
      </c>
      <c r="C12" s="7">
        <v>10362.029999999901</v>
      </c>
    </row>
    <row r="13" spans="1:3" x14ac:dyDescent="0.25">
      <c r="A13" s="5" t="s">
        <v>136</v>
      </c>
      <c r="B13" s="6">
        <v>128</v>
      </c>
      <c r="C13" s="7">
        <v>9068.7999999999993</v>
      </c>
    </row>
    <row r="14" spans="1:3" x14ac:dyDescent="0.25">
      <c r="A14" s="5" t="s">
        <v>111</v>
      </c>
      <c r="B14" s="6">
        <v>136</v>
      </c>
      <c r="C14" s="7">
        <v>8236.16</v>
      </c>
    </row>
    <row r="15" spans="1:3" x14ac:dyDescent="0.25">
      <c r="A15" s="5" t="s">
        <v>197</v>
      </c>
      <c r="B15" s="6">
        <v>63</v>
      </c>
      <c r="C15" s="7">
        <v>4731.2999999999902</v>
      </c>
    </row>
    <row r="16" spans="1:3" x14ac:dyDescent="0.25">
      <c r="A16" s="5" t="s">
        <v>253</v>
      </c>
      <c r="B16" s="6">
        <v>113</v>
      </c>
      <c r="C16" s="7">
        <v>6095.2199999999903</v>
      </c>
    </row>
    <row r="17" spans="1:3" x14ac:dyDescent="0.25">
      <c r="A17" s="5" t="s">
        <v>266</v>
      </c>
      <c r="B17" s="6">
        <v>30</v>
      </c>
      <c r="C17" s="7">
        <v>4323.8999999999996</v>
      </c>
    </row>
    <row r="18" spans="1:3" x14ac:dyDescent="0.25">
      <c r="A18" s="5" t="s">
        <v>274</v>
      </c>
      <c r="B18" s="6">
        <v>349</v>
      </c>
      <c r="C18" s="7">
        <v>19767.36</v>
      </c>
    </row>
    <row r="19" spans="1:3" x14ac:dyDescent="0.25">
      <c r="A19" s="5" t="s">
        <v>172</v>
      </c>
      <c r="B19" s="6">
        <v>280</v>
      </c>
      <c r="C19" s="7">
        <v>24052</v>
      </c>
    </row>
    <row r="20" spans="1:3" x14ac:dyDescent="0.25">
      <c r="A20" s="5" t="s">
        <v>50</v>
      </c>
      <c r="B20" s="6">
        <v>47</v>
      </c>
      <c r="C20" s="7">
        <v>113322.17</v>
      </c>
    </row>
    <row r="21" spans="1:3" x14ac:dyDescent="0.25">
      <c r="A21" s="5" t="s">
        <v>163</v>
      </c>
      <c r="B21" s="6">
        <v>71</v>
      </c>
      <c r="C21" s="7">
        <v>3107.67</v>
      </c>
    </row>
    <row r="22" spans="1:3" x14ac:dyDescent="0.25">
      <c r="A22" s="5" t="s">
        <v>178</v>
      </c>
      <c r="B22" s="6">
        <v>107</v>
      </c>
      <c r="C22" s="7">
        <v>19086.66</v>
      </c>
    </row>
    <row r="23" spans="1:3" x14ac:dyDescent="0.25">
      <c r="A23" s="5" t="s">
        <v>170</v>
      </c>
      <c r="B23" s="6">
        <v>148</v>
      </c>
      <c r="C23" s="7">
        <v>7903.2</v>
      </c>
    </row>
    <row r="24" spans="1:3" x14ac:dyDescent="0.25">
      <c r="A24" s="5" t="s">
        <v>186</v>
      </c>
      <c r="B24" s="6">
        <v>102</v>
      </c>
      <c r="C24" s="7">
        <v>8354.82</v>
      </c>
    </row>
    <row r="25" spans="1:3" x14ac:dyDescent="0.25">
      <c r="A25" s="5" t="s">
        <v>223</v>
      </c>
      <c r="B25" s="6">
        <v>81</v>
      </c>
      <c r="C25" s="7">
        <v>31787.64</v>
      </c>
    </row>
    <row r="26" spans="1:3" x14ac:dyDescent="0.25">
      <c r="A26" s="5" t="s">
        <v>72</v>
      </c>
      <c r="B26" s="6">
        <v>103</v>
      </c>
      <c r="C26" s="7">
        <v>27826.48</v>
      </c>
    </row>
    <row r="27" spans="1:3" x14ac:dyDescent="0.25">
      <c r="A27" s="4" t="s">
        <v>123</v>
      </c>
      <c r="B27" s="6">
        <v>258</v>
      </c>
      <c r="C27" s="7">
        <v>8619.51</v>
      </c>
    </row>
    <row r="28" spans="1:3" x14ac:dyDescent="0.25">
      <c r="A28" s="5" t="s">
        <v>219</v>
      </c>
      <c r="B28" s="6">
        <v>54</v>
      </c>
      <c r="C28" s="7">
        <v>394.2</v>
      </c>
    </row>
    <row r="29" spans="1:3" x14ac:dyDescent="0.25">
      <c r="A29" s="5" t="s">
        <v>130</v>
      </c>
      <c r="B29" s="6">
        <v>39</v>
      </c>
      <c r="C29" s="7">
        <v>2003.04</v>
      </c>
    </row>
    <row r="30" spans="1:3" x14ac:dyDescent="0.25">
      <c r="A30" s="5" t="s">
        <v>122</v>
      </c>
      <c r="B30" s="6">
        <v>35</v>
      </c>
      <c r="C30" s="7">
        <v>992.25</v>
      </c>
    </row>
    <row r="31" spans="1:3" x14ac:dyDescent="0.25">
      <c r="A31" s="5" t="s">
        <v>184</v>
      </c>
      <c r="B31" s="6">
        <v>42</v>
      </c>
      <c r="C31" s="7">
        <v>3646.02</v>
      </c>
    </row>
    <row r="32" spans="1:3" x14ac:dyDescent="0.25">
      <c r="A32" s="5" t="s">
        <v>199</v>
      </c>
      <c r="B32" s="6">
        <v>88</v>
      </c>
      <c r="C32" s="7">
        <v>1584</v>
      </c>
    </row>
    <row r="33" spans="1:3" x14ac:dyDescent="0.25">
      <c r="A33" s="4" t="s">
        <v>276</v>
      </c>
      <c r="B33" s="6">
        <v>2722</v>
      </c>
      <c r="C33" s="7">
        <v>398719.29999999976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64F2-A65D-42A7-A5F4-531287D3CA68}">
  <dimension ref="A1:D20"/>
  <sheetViews>
    <sheetView tabSelected="1" workbookViewId="0">
      <selection activeCell="D20" sqref="D20"/>
    </sheetView>
  </sheetViews>
  <sheetFormatPr defaultRowHeight="15" x14ac:dyDescent="0.25"/>
  <cols>
    <col min="1" max="1" width="18" bestFit="1" customWidth="1"/>
    <col min="2" max="2" width="22.140625" bestFit="1" customWidth="1"/>
  </cols>
  <sheetData>
    <row r="1" spans="1:2" x14ac:dyDescent="0.25">
      <c r="A1" s="3" t="s">
        <v>30</v>
      </c>
      <c r="B1" t="s">
        <v>282</v>
      </c>
    </row>
    <row r="3" spans="1:2" x14ac:dyDescent="0.25">
      <c r="A3" s="3" t="s">
        <v>275</v>
      </c>
      <c r="B3" t="s">
        <v>277</v>
      </c>
    </row>
    <row r="4" spans="1:2" x14ac:dyDescent="0.25">
      <c r="A4" s="4" t="s">
        <v>33</v>
      </c>
      <c r="B4" s="7">
        <v>490641.41000000003</v>
      </c>
    </row>
    <row r="5" spans="1:2" x14ac:dyDescent="0.25">
      <c r="A5" s="4" t="s">
        <v>212</v>
      </c>
      <c r="B5" s="7">
        <v>392331.18999999878</v>
      </c>
    </row>
    <row r="6" spans="1:2" x14ac:dyDescent="0.25">
      <c r="A6" s="4" t="s">
        <v>168</v>
      </c>
      <c r="B6" s="7">
        <v>289919.67999999993</v>
      </c>
    </row>
    <row r="7" spans="1:2" x14ac:dyDescent="0.25">
      <c r="A7" s="4" t="s">
        <v>75</v>
      </c>
      <c r="B7" s="7">
        <v>228304.18</v>
      </c>
    </row>
    <row r="8" spans="1:2" x14ac:dyDescent="0.25">
      <c r="A8" s="4" t="s">
        <v>235</v>
      </c>
      <c r="B8" s="7">
        <v>216086.69999999992</v>
      </c>
    </row>
    <row r="9" spans="1:2" x14ac:dyDescent="0.25">
      <c r="A9" s="4" t="s">
        <v>256</v>
      </c>
      <c r="B9" s="7">
        <v>199229.99999999988</v>
      </c>
    </row>
    <row r="10" spans="1:2" x14ac:dyDescent="0.25">
      <c r="A10" s="4" t="s">
        <v>147</v>
      </c>
      <c r="B10" s="7">
        <v>164807.5199999999</v>
      </c>
    </row>
    <row r="11" spans="1:2" x14ac:dyDescent="0.25">
      <c r="A11" s="4" t="s">
        <v>189</v>
      </c>
      <c r="B11" s="7">
        <v>146188.5</v>
      </c>
    </row>
    <row r="12" spans="1:2" x14ac:dyDescent="0.25">
      <c r="A12" s="4" t="s">
        <v>126</v>
      </c>
      <c r="B12" s="7">
        <v>138934.26999999999</v>
      </c>
    </row>
    <row r="13" spans="1:2" x14ac:dyDescent="0.25">
      <c r="A13" s="4" t="s">
        <v>100</v>
      </c>
      <c r="B13" s="7">
        <v>99647.2</v>
      </c>
    </row>
    <row r="14" spans="1:2" x14ac:dyDescent="0.25">
      <c r="A14" s="4" t="s">
        <v>276</v>
      </c>
      <c r="B14" s="7">
        <v>2366090.6499999985</v>
      </c>
    </row>
    <row r="20" spans="4:4" x14ac:dyDescent="0.25">
      <c r="D20" t="s">
        <v>283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inventory_analysis</vt:lpstr>
      <vt:lpstr>painel_prioridades_repor</vt:lpstr>
      <vt:lpstr>painel_prioridades_excesso</vt:lpstr>
      <vt:lpstr>dashboard_executivo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Soares dos Santos</dc:creator>
  <cp:lastModifiedBy>Rodrigo Soares dos Santos</cp:lastModifiedBy>
  <dcterms:created xsi:type="dcterms:W3CDTF">2026-08-02T20:41:48Z</dcterms:created>
  <dcterms:modified xsi:type="dcterms:W3CDTF">2026-08-02T21:45:47Z</dcterms:modified>
</cp:coreProperties>
</file>