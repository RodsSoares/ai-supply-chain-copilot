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ds_\Desktop\AI - LAB\ai-supply-chain-copilot\"/>
    </mc:Choice>
  </mc:AlternateContent>
  <xr:revisionPtr revIDLastSave="0" documentId="8_{074A2A57-59DE-4B63-B981-5CF6585895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isão Geral" sheetId="1" r:id="rId1"/>
    <sheet name="Cronograma Gantt" sheetId="2" r:id="rId2"/>
    <sheet name="Backlog" sheetId="3" r:id="rId3"/>
    <sheet name="Guia de uso" sheetId="4" r:id="rId4"/>
  </sheets>
  <calcPr calcId="191029"/>
  <fileRecoveryPr repairLoad="1"/>
</workbook>
</file>

<file path=xl/calcChain.xml><?xml version="1.0" encoding="utf-8"?>
<calcChain xmlns="http://schemas.openxmlformats.org/spreadsheetml/2006/main">
  <c r="Z23" i="2" l="1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</calcChain>
</file>

<file path=xl/sharedStrings.xml><?xml version="1.0" encoding="utf-8"?>
<sst xmlns="http://schemas.openxmlformats.org/spreadsheetml/2006/main" count="319" uniqueCount="159">
  <si>
    <t>AI Supply Chain Copilot — Plano de Execução</t>
  </si>
  <si>
    <t>Indicador</t>
  </si>
  <si>
    <t>Valor</t>
  </si>
  <si>
    <t>Princípio de gestão do projeto</t>
  </si>
  <si>
    <t>Início planejado</t>
  </si>
  <si>
    <t>Planejamento suficiente para demonstrar visão e execução, sem transformar o projeto em um exercício pesado de gestão. O objetivo central é construir automações, IA, dados e um produto funcional de portfólio.</t>
  </si>
  <si>
    <t>Duração</t>
  </si>
  <si>
    <t>16 semanas</t>
  </si>
  <si>
    <t>Entregas principais</t>
  </si>
  <si>
    <t>Foco</t>
  </si>
  <si>
    <t>Automação em IA aplicada a Supply Chain</t>
  </si>
  <si>
    <t>Marcos do projeto</t>
  </si>
  <si>
    <t>Marco</t>
  </si>
  <si>
    <t>Semana</t>
  </si>
  <si>
    <t>Resultado</t>
  </si>
  <si>
    <t>M1</t>
  </si>
  <si>
    <t>Repositório estruturado e publicado</t>
  </si>
  <si>
    <t>M2</t>
  </si>
  <si>
    <t>Extração de NF com saída estruturada</t>
  </si>
  <si>
    <t>M3</t>
  </si>
  <si>
    <t>Banco e indicadores de estoque funcionando</t>
  </si>
  <si>
    <t>M4</t>
  </si>
  <si>
    <t>Dashboard e previsão de demanda</t>
  </si>
  <si>
    <t>M5</t>
  </si>
  <si>
    <t>Copiloto, testes, documentação e release v1.0</t>
  </si>
  <si>
    <t>AI Supply Chain Copilot — Cronograma Gantt</t>
  </si>
  <si>
    <t>ID</t>
  </si>
  <si>
    <t>Fase</t>
  </si>
  <si>
    <t>Entrega / Atividade</t>
  </si>
  <si>
    <t>Início</t>
  </si>
  <si>
    <t>Fim</t>
  </si>
  <si>
    <t>Duração (sem.)</t>
  </si>
  <si>
    <t>Responsável</t>
  </si>
  <si>
    <t>Prioridade</t>
  </si>
  <si>
    <t>Status</t>
  </si>
  <si>
    <t>Dependência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</si>
  <si>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</si>
  <si>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</si>
  <si>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</si>
  <si>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</si>
  <si>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</si>
  <si>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</si>
  <si>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</si>
  <si>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</si>
  <si>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</si>
  <si>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</si>
  <si>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</si>
  <si>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</si>
  <si>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</si>
  <si>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</si>
  <si>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</si>
  <si>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</si>
  <si>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Fundação</t>
  </si>
  <si>
    <t>Validar ambiente local, estrutura de pastas e arquivos-base</t>
  </si>
  <si>
    <t>Rodrigo</t>
  </si>
  <si>
    <t>Alta</t>
  </si>
  <si>
    <t>Não iniciado</t>
  </si>
  <si>
    <t>Preencher README, .gitignore e requirements.txt</t>
  </si>
  <si>
    <t>1</t>
  </si>
  <si>
    <t>Criar repositório no GitHub e realizar primeiro commit</t>
  </si>
  <si>
    <t>2</t>
  </si>
  <si>
    <t>Dados</t>
  </si>
  <si>
    <t>Criar conjunto sintético de notas fiscais e cadastro de SKUs</t>
  </si>
  <si>
    <t>3</t>
  </si>
  <si>
    <t>Definir esquema de dados: NF, item, fornecedor, SKU e estoque</t>
  </si>
  <si>
    <t>4</t>
  </si>
  <si>
    <t>Extração IA</t>
  </si>
  <si>
    <t>Construir leitor inicial de NF em PDF/imagem</t>
  </si>
  <si>
    <t>5</t>
  </si>
  <si>
    <t>Extrair campos e itens com saída estruturada em JSON</t>
  </si>
  <si>
    <t>6</t>
  </si>
  <si>
    <t>Qualidade</t>
  </si>
  <si>
    <t>Criar validações, logs e tratamento de exceções</t>
  </si>
  <si>
    <t>7</t>
  </si>
  <si>
    <t>Banco de dados</t>
  </si>
  <si>
    <t>Persistir dados tratados em SQLite</t>
  </si>
  <si>
    <t>8</t>
  </si>
  <si>
    <t>Supply Chain</t>
  </si>
  <si>
    <t>Calcular saldo, entradas, saídas e posição por SKU</t>
  </si>
  <si>
    <t>9</t>
  </si>
  <si>
    <t>Criar KPIs: giro, cobertura, ruptura e estoque parado</t>
  </si>
  <si>
    <t>10</t>
  </si>
  <si>
    <t>Automação</t>
  </si>
  <si>
    <t>Criar pipeline ponta a ponta: pasta de entrada → banco → indicadores</t>
  </si>
  <si>
    <t>11</t>
  </si>
  <si>
    <t>Backend</t>
  </si>
  <si>
    <t>Criar API para consulta de NFs, SKUs, estoque e KPIs</t>
  </si>
  <si>
    <t>Média</t>
  </si>
  <si>
    <t>12</t>
  </si>
  <si>
    <t>Dashboard</t>
  </si>
  <si>
    <t>Criar painel executivo e operacional do estoque</t>
  </si>
  <si>
    <t>13</t>
  </si>
  <si>
    <t>IA Preditiva</t>
  </si>
  <si>
    <t>Criar baseline de previsão de demanda</t>
  </si>
  <si>
    <t>Comparar modelos e medir erro de previsão</t>
  </si>
  <si>
    <t>15</t>
  </si>
  <si>
    <t>Agente IA</t>
  </si>
  <si>
    <t>Criar copiloto para perguntas sobre estoque e documentos</t>
  </si>
  <si>
    <t>13,14</t>
  </si>
  <si>
    <t>Testes</t>
  </si>
  <si>
    <t>Criar testes automatizados e cenários de negócio</t>
  </si>
  <si>
    <t>12,13,14,17</t>
  </si>
  <si>
    <t>Portfólio</t>
  </si>
  <si>
    <t>Documentar arquitetura, decisões, resultados e limitações</t>
  </si>
  <si>
    <t>18</t>
  </si>
  <si>
    <t>Publicar demo, vídeo curto e release v1.0 no GitHub</t>
  </si>
  <si>
    <t>19</t>
  </si>
  <si>
    <t>Backlog de Entregas — Controle Leve</t>
  </si>
  <si>
    <t>Entrega</t>
  </si>
  <si>
    <t>Critério de aceite</t>
  </si>
  <si>
    <t>% concluído</t>
  </si>
  <si>
    <t>Semana alvo</t>
  </si>
  <si>
    <t>Link/arquivo</t>
  </si>
  <si>
    <t>Observações</t>
  </si>
  <si>
    <t>Arquivos versionados e ambiente reproduzível</t>
  </si>
  <si>
    <t>Dados consistentes e documentados</t>
  </si>
  <si>
    <t>Campos extraídos em formato estruturado</t>
  </si>
  <si>
    <t>Erros tratados e registrados</t>
  </si>
  <si>
    <t>Dados persistidos e consultáveis</t>
  </si>
  <si>
    <t>Indicadores reconciliados com os dados-base</t>
  </si>
  <si>
    <t>Fluxo executado ponta a ponta</t>
  </si>
  <si>
    <t>Endpoints documentados e testados</t>
  </si>
  <si>
    <t>KPIs navegáveis e compreensíveis</t>
  </si>
  <si>
    <t>Métricas de erro calculadas e comparadas</t>
  </si>
  <si>
    <t>Respostas fundamentadas nos dados do projeto</t>
  </si>
  <si>
    <t>Testes críticos passando</t>
  </si>
  <si>
    <t>Projeto publicável e compreensível por recrutadores</t>
  </si>
  <si>
    <t>Como usar este arquivo sem perder tempo com gestão</t>
  </si>
  <si>
    <t>Passo</t>
  </si>
  <si>
    <t>Ação</t>
  </si>
  <si>
    <t>Frequência</t>
  </si>
  <si>
    <t>Tempo máximo</t>
  </si>
  <si>
    <t>Onde atualizar</t>
  </si>
  <si>
    <t>Regra</t>
  </si>
  <si>
    <t>Atualizar status das entregas ativas</t>
  </si>
  <si>
    <t>1x por semana</t>
  </si>
  <si>
    <t>5 min</t>
  </si>
  <si>
    <t>Cronograma Gantt</t>
  </si>
  <si>
    <t>Somente tarefas da semana atual</t>
  </si>
  <si>
    <t>Atualizar percentual concluído</t>
  </si>
  <si>
    <t>Backlog</t>
  </si>
  <si>
    <t>Estimativa simples: 0, 25, 50, 75 ou 100%</t>
  </si>
  <si>
    <t>Adicionar links dos arquivos ou commits</t>
  </si>
  <si>
    <t>Quando concluir</t>
  </si>
  <si>
    <t>2 min</t>
  </si>
  <si>
    <t>Um link por entrega é suficiente</t>
  </si>
  <si>
    <t>Replanejar</t>
  </si>
  <si>
    <t>Somente se houver bloqueio real</t>
  </si>
  <si>
    <t>10 min</t>
  </si>
  <si>
    <t>Não refazer o plano por pequenos atrasos</t>
  </si>
  <si>
    <t>Publicar evolução no GitHub</t>
  </si>
  <si>
    <t>Ao final de cada marco</t>
  </si>
  <si>
    <t>15 min</t>
  </si>
  <si>
    <t>GitHub/README</t>
  </si>
  <si>
    <t>Mostrar entregas, não burocracia</t>
  </si>
  <si>
    <t>Revisar certificações relacionadas</t>
  </si>
  <si>
    <t>Ao final de cada fase</t>
  </si>
  <si>
    <t>README/Notas</t>
  </si>
  <si>
    <t>Microsoft ou Google, sem desviar do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</si>
</sst>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0&quot;%&quot;"/>
  </numFmts>
  <fonts count="6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color rgb="FFFFFFFF"/>
      <name val="Carlito"/>
    </font>
    <font>
      <b/>
      <sz val="11"/>
      <color rgb="FF123B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1F6E8C"/>
      </patternFill>
    </fill>
    <fill>
      <patternFill patternType="solid">
        <fgColor rgb="FFDDEBF7"/>
      </patternFill>
    </fill>
    <fill>
      <patternFill patternType="solid">
        <fgColor rgb="FFEAF3F8"/>
      </patternFill>
    </fill>
    <fill>
      <patternFill patternType="solid">
        <fgColor rgb="FF5B9BD5"/>
      </patternFill>
    </fill>
  </fills>
  <borders count="23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4" borderId="3" xfId="0" applyFont="1" applyFill="1" applyBorder="1" applyAlignment="1">
      <alignment wrapText="1"/>
    </xf>
    <xf numFmtId="14" fontId="0" fillId="0" borderId="4" xfId="0" applyNumberFormat="1" applyBorder="1" applyAlignment="1">
      <alignment wrapText="1"/>
    </xf>
    <xf numFmtId="0" fontId="0" fillId="0" borderId="4" xfId="0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2" fillId="6" borderId="7" xfId="0" applyFont="1" applyFill="1" applyBorder="1" applyAlignment="1">
      <alignment wrapText="1"/>
    </xf>
    <xf numFmtId="0" fontId="2" fillId="6" borderId="8" xfId="0" applyFont="1" applyFill="1" applyBorder="1" applyAlignment="1">
      <alignment wrapText="1"/>
    </xf>
    <xf numFmtId="0" fontId="2" fillId="6" borderId="9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horizontal="center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14" fontId="0" fillId="0" borderId="16" xfId="0" applyNumberFormat="1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14" fontId="0" fillId="0" borderId="0" xfId="0" applyNumberFormat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14" fontId="0" fillId="0" borderId="21" xfId="0" applyNumberFormat="1" applyBorder="1" applyAlignment="1">
      <alignment wrapText="1"/>
    </xf>
    <xf numFmtId="0" fontId="0" fillId="0" borderId="22" xfId="0" applyBorder="1" applyAlignment="1">
      <alignment wrapText="1"/>
    </xf>
    <xf numFmtId="165" fontId="0" fillId="0" borderId="0" xfId="0" applyNumberFormat="1" applyAlignment="1">
      <alignment wrapText="1"/>
    </xf>
    <xf numFmtId="0" fontId="2" fillId="3" borderId="15" xfId="0" applyFont="1" applyFill="1" applyBorder="1" applyAlignment="1">
      <alignment horizontal="center" wrapText="1"/>
    </xf>
    <xf numFmtId="0" fontId="2" fillId="3" borderId="16" xfId="0" applyFont="1" applyFill="1" applyBorder="1" applyAlignment="1">
      <alignment horizontal="center" wrapText="1"/>
    </xf>
    <xf numFmtId="0" fontId="2" fillId="3" borderId="1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0" fillId="5" borderId="0" xfId="0" applyFill="1" applyAlignment="1">
      <alignment horizontal="left" vertical="center" wrapText="1"/>
    </xf>
    <xf numFmtId="0" fontId="2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E699"/>
        </patternFill>
      </fill>
    </dxf>
    <dxf>
      <font>
        <color rgb="FF375623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onogramaTable" displayName="CronogramaTable" ref="A3:J23">
  <tableColumns count="10">
    <tableColumn id="1" xr3:uid="{00000000-0010-0000-0000-000001000000}" name="ID"/>
    <tableColumn id="2" xr3:uid="{00000000-0010-0000-0000-000002000000}" name="Fase"/>
    <tableColumn id="3" xr3:uid="{00000000-0010-0000-0000-000003000000}" name="Entrega / Atividade"/>
    <tableColumn id="4" xr3:uid="{00000000-0010-0000-0000-000004000000}" name="Início"/>
    <tableColumn id="5" xr3:uid="{00000000-0010-0000-0000-000005000000}" name="Fim"/>
    <tableColumn id="6" xr3:uid="{00000000-0010-0000-0000-000006000000}" name="Duração (sem.)"/>
    <tableColumn id="7" xr3:uid="{00000000-0010-0000-0000-000007000000}" name="Responsável"/>
    <tableColumn id="8" xr3:uid="{00000000-0010-0000-0000-000008000000}" name="Prioridade"/>
    <tableColumn id="9" xr3:uid="{00000000-0010-0000-0000-000009000000}" name="Status"/>
    <tableColumn id="10" xr3:uid="{00000000-0010-0000-0000-00000A000000}" name="Depend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cklogTable" displayName="BacklogTable" ref="A3:J23">
  <tableColumns count="10">
    <tableColumn id="1" xr3:uid="{00000000-0010-0000-0100-000001000000}" name="ID"/>
    <tableColumn id="2" xr3:uid="{00000000-0010-0000-0100-000002000000}" name="Entrega"/>
    <tableColumn id="3" xr3:uid="{00000000-0010-0000-0100-000003000000}" name="Fase"/>
    <tableColumn id="4" xr3:uid="{00000000-0010-0000-0100-000004000000}" name="Critério de aceite"/>
    <tableColumn id="5" xr3:uid="{00000000-0010-0000-0100-000005000000}" name="Prioridade"/>
    <tableColumn id="6" xr3:uid="{00000000-0010-0000-0100-000006000000}" name="Status"/>
    <tableColumn id="7" xr3:uid="{00000000-0010-0000-0100-000007000000}" name="% concluído"/>
    <tableColumn id="8" xr3:uid="{00000000-0010-0000-0100-000008000000}" name="Semana alvo"/>
    <tableColumn id="9" xr3:uid="{00000000-0010-0000-0100-000009000000}" name="Link/arquivo"/>
    <tableColumn id="10" xr3:uid="{00000000-0010-0000-0100-00000A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sqref="A1:H2"/>
    </sheetView>
  </sheetViews>
  <sheetFormatPr defaultRowHeight="14.25"/>
  <cols>
    <col min="1" max="1" width="22" customWidth="1"/>
    <col min="2" max="2" width="24" customWidth="1"/>
    <col min="3" max="3" width="48" customWidth="1"/>
    <col min="4" max="8" width="14" customWidth="1"/>
  </cols>
  <sheetData>
    <row r="1" spans="1:8">
      <c r="A1" s="35" t="s">
        <v>0</v>
      </c>
      <c r="B1" s="35"/>
      <c r="C1" s="35"/>
      <c r="D1" s="35"/>
      <c r="E1" s="35"/>
      <c r="F1" s="35"/>
      <c r="G1" s="35"/>
      <c r="H1" s="35"/>
    </row>
    <row r="2" spans="1:8">
      <c r="A2" s="35"/>
      <c r="B2" s="35"/>
      <c r="C2" s="35"/>
      <c r="D2" s="35"/>
      <c r="E2" s="35"/>
      <c r="F2" s="35"/>
      <c r="G2" s="35"/>
      <c r="H2" s="35"/>
    </row>
    <row r="3" spans="1:8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1</v>
      </c>
      <c r="B4" s="3" t="s">
        <v>2</v>
      </c>
      <c r="C4" s="1"/>
      <c r="D4" s="36" t="s">
        <v>3</v>
      </c>
      <c r="E4" s="36"/>
      <c r="F4" s="36"/>
      <c r="G4" s="36"/>
      <c r="H4" s="36"/>
    </row>
    <row r="5" spans="1:8" ht="15">
      <c r="A5" s="5" t="s">
        <v>4</v>
      </c>
      <c r="B5" s="6">
        <v>46230</v>
      </c>
      <c r="C5" s="1"/>
      <c r="D5" s="37" t="s">
        <v>5</v>
      </c>
      <c r="E5" s="37"/>
      <c r="F5" s="37"/>
      <c r="G5" s="37"/>
      <c r="H5" s="37"/>
    </row>
    <row r="6" spans="1:8" ht="15">
      <c r="A6" s="5" t="s">
        <v>6</v>
      </c>
      <c r="B6" s="7" t="s">
        <v>7</v>
      </c>
      <c r="C6" s="1"/>
      <c r="D6" s="37"/>
      <c r="E6" s="37"/>
      <c r="F6" s="37"/>
      <c r="G6" s="37"/>
      <c r="H6" s="37"/>
    </row>
    <row r="7" spans="1:8" ht="15">
      <c r="A7" s="5" t="s">
        <v>8</v>
      </c>
      <c r="B7" s="7">
        <v>20</v>
      </c>
      <c r="C7" s="1"/>
      <c r="D7" s="37"/>
      <c r="E7" s="37"/>
      <c r="F7" s="37"/>
      <c r="G7" s="37"/>
      <c r="H7" s="37"/>
    </row>
    <row r="8" spans="1:8" ht="29.25">
      <c r="A8" s="8" t="s">
        <v>9</v>
      </c>
      <c r="B8" s="9" t="s">
        <v>10</v>
      </c>
      <c r="C8" s="1"/>
      <c r="D8" s="37"/>
      <c r="E8" s="37"/>
      <c r="F8" s="37"/>
      <c r="G8" s="37"/>
      <c r="H8" s="37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 ht="15">
      <c r="A11" s="38" t="s">
        <v>11</v>
      </c>
      <c r="B11" s="38"/>
      <c r="C11" s="38"/>
      <c r="D11" s="38"/>
      <c r="E11" s="38"/>
      <c r="F11" s="38"/>
      <c r="G11" s="38"/>
      <c r="H11" s="38"/>
    </row>
    <row r="12" spans="1:8" ht="15">
      <c r="A12" s="10" t="s">
        <v>12</v>
      </c>
      <c r="B12" s="11" t="s">
        <v>13</v>
      </c>
      <c r="C12" s="12" t="s">
        <v>14</v>
      </c>
      <c r="D12" s="1"/>
      <c r="E12" s="1"/>
      <c r="F12" s="1"/>
      <c r="G12" s="1"/>
      <c r="H12" s="1"/>
    </row>
    <row r="13" spans="1:8">
      <c r="A13" s="13" t="s">
        <v>15</v>
      </c>
      <c r="B13" s="1">
        <v>1</v>
      </c>
      <c r="C13" s="14" t="s">
        <v>16</v>
      </c>
      <c r="D13" s="1"/>
      <c r="E13" s="1"/>
      <c r="F13" s="1"/>
      <c r="G13" s="1"/>
      <c r="H13" s="1"/>
    </row>
    <row r="14" spans="1:8">
      <c r="A14" s="13" t="s">
        <v>17</v>
      </c>
      <c r="B14" s="1">
        <v>5</v>
      </c>
      <c r="C14" s="14" t="s">
        <v>18</v>
      </c>
      <c r="D14" s="1"/>
      <c r="E14" s="1"/>
      <c r="F14" s="1"/>
      <c r="G14" s="1"/>
      <c r="H14" s="1"/>
    </row>
    <row r="15" spans="1:8">
      <c r="A15" s="13" t="s">
        <v>19</v>
      </c>
      <c r="B15" s="1">
        <v>9</v>
      </c>
      <c r="C15" s="14" t="s">
        <v>20</v>
      </c>
      <c r="D15" s="1"/>
      <c r="E15" s="1"/>
      <c r="F15" s="1"/>
      <c r="G15" s="1"/>
      <c r="H15" s="1"/>
    </row>
    <row r="16" spans="1:8">
      <c r="A16" s="13" t="s">
        <v>21</v>
      </c>
      <c r="B16" s="1">
        <v>13</v>
      </c>
      <c r="C16" s="14" t="s">
        <v>22</v>
      </c>
      <c r="D16" s="1"/>
      <c r="E16" s="1"/>
      <c r="F16" s="1"/>
      <c r="G16" s="1"/>
      <c r="H16" s="1"/>
    </row>
    <row r="17" spans="1:8">
      <c r="A17" s="15" t="s">
        <v>23</v>
      </c>
      <c r="B17" s="16">
        <v>16</v>
      </c>
      <c r="C17" s="17" t="s">
        <v>24</v>
      </c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</sheetData>
  <mergeCells count="4">
    <mergeCell ref="A1:H2"/>
    <mergeCell ref="D4:H4"/>
    <mergeCell ref="D5:H8"/>
    <mergeCell ref="A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3"/>
  <sheetViews>
    <sheetView workbookViewId="0"/>
  </sheetViews>
  <sheetFormatPr defaultRowHeight="14.25"/>
  <cols>
    <col min="1" max="1" width="6" customWidth="1"/>
    <col min="2" max="2" width="18" customWidth="1"/>
    <col min="3" max="3" width="48" customWidth="1"/>
    <col min="4" max="5" width="13" customWidth="1"/>
    <col min="6" max="6" width="12" customWidth="1"/>
    <col min="7" max="7" width="13" customWidth="1"/>
    <col min="8" max="9" width="14" customWidth="1"/>
    <col min="10" max="10" width="13" customWidth="1"/>
    <col min="11" max="26" width="5" customWidth="1"/>
  </cols>
  <sheetData>
    <row r="1" spans="1:26" ht="27.95" customHeight="1">
      <c r="A1" s="39" t="s">
        <v>25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5">
      <c r="K2" s="19">
        <v>46230</v>
      </c>
      <c r="L2" s="19">
        <v>46237</v>
      </c>
      <c r="M2" s="19">
        <v>46244</v>
      </c>
      <c r="N2" s="19">
        <v>46251</v>
      </c>
      <c r="O2" s="19">
        <v>46258</v>
      </c>
      <c r="P2" s="19">
        <v>46265</v>
      </c>
      <c r="Q2" s="19">
        <v>46272</v>
      </c>
      <c r="R2" s="19">
        <v>46279</v>
      </c>
      <c r="S2" s="19">
        <v>46286</v>
      </c>
      <c r="T2" s="19">
        <v>46293</v>
      </c>
      <c r="U2" s="19">
        <v>46300</v>
      </c>
      <c r="V2" s="19">
        <v>46307</v>
      </c>
      <c r="W2" s="19">
        <v>46314</v>
      </c>
      <c r="X2" s="19">
        <v>46321</v>
      </c>
      <c r="Y2" s="19">
        <v>46328</v>
      </c>
      <c r="Z2" s="19">
        <v>46335</v>
      </c>
    </row>
    <row r="3" spans="1:26" ht="30">
      <c r="A3" s="18" t="s">
        <v>26</v>
      </c>
      <c r="B3" s="18" t="s">
        <v>27</v>
      </c>
      <c r="C3" s="18" t="s">
        <v>28</v>
      </c>
      <c r="D3" s="18" t="s">
        <v>29</v>
      </c>
      <c r="E3" s="18" t="s">
        <v>30</v>
      </c>
      <c r="F3" s="18" t="s">
        <v>31</v>
      </c>
      <c r="G3" s="18" t="s">
        <v>32</v>
      </c>
      <c r="H3" s="18" t="s">
        <v>33</v>
      </c>
      <c r="I3" s="18" t="s">
        <v>34</v>
      </c>
      <c r="J3" s="18" t="s">
        <v>35</v>
      </c>
      <c r="K3" s="18" t="s">
        <v>36</v>
      </c>
      <c r="L3" s="18" t="s">
        <v>37</v>
      </c>
      <c r="M3" s="18" t="s">
        <v>38</v>
      </c>
      <c r="N3" s="18" t="s">
        <v>39</v>
      </c>
      <c r="O3" s="18" t="s">
        <v>40</v>
      </c>
      <c r="P3" s="18" t="s">
        <v>41</v>
      </c>
      <c r="Q3" s="18" t="s">
        <v>42</v>
      </c>
      <c r="R3" s="18" t="s">
        <v>43</v>
      </c>
      <c r="S3" s="18" t="s">
        <v>44</v>
      </c>
      <c r="T3" s="18" t="s">
        <v>45</v>
      </c>
      <c r="U3" s="18" t="s">
        <v>46</v>
      </c>
      <c r="V3" s="18" t="s">
        <v>47</v>
      </c>
      <c r="W3" s="18" t="s">
        <v>48</v>
      </c>
      <c r="X3" s="18" t="s">
        <v>49</v>
      </c>
      <c r="Y3" s="18" t="s">
        <v>50</v>
      </c>
      <c r="Z3" s="18" t="s">
        <v>51</v>
      </c>
    </row>
    <row r="4" spans="1:26" ht="28.5">
      <c r="A4" s="20">
        <v>1</v>
      </c>
      <c r="B4" s="21" t="s">
        <v>52</v>
      </c>
      <c r="C4" s="21" t="s">
        <v>53</v>
      </c>
      <c r="D4" s="22">
        <v>46230</v>
      </c>
      <c r="E4" s="22">
        <v>46236</v>
      </c>
      <c r="F4" s="21">
        <v>1</v>
      </c>
      <c r="G4" s="21" t="s">
        <v>54</v>
      </c>
      <c r="H4" s="21" t="s">
        <v>55</v>
      </c>
      <c r="I4" s="21" t="s">
        <v>56</v>
      </c>
      <c r="J4" s="21"/>
      <c r="K4" s="21">
        <f>IF(AND(1&gt;=1,1&lt;1+1),1,"")</f>
        <v>1</v>
      </c>
      <c r="L4" s="21" t="str">
        <f>IF(AND(2&gt;=1,2&lt;1+1),1,"")</f>
        <v/>
      </c>
      <c r="M4" s="21" t="str">
        <f>IF(AND(3&gt;=1,3&lt;1+1),1,"")</f>
        <v/>
      </c>
      <c r="N4" s="21" t="str">
        <f>IF(AND(4&gt;=1,4&lt;1+1),1,"")</f>
        <v/>
      </c>
      <c r="O4" s="21" t="str">
        <f>IF(AND(5&gt;=1,5&lt;1+1),1,"")</f>
        <v/>
      </c>
      <c r="P4" s="21" t="str">
        <f>IF(AND(6&gt;=1,6&lt;1+1),1,"")</f>
        <v/>
      </c>
      <c r="Q4" s="21" t="str">
        <f>IF(AND(7&gt;=1,7&lt;1+1),1,"")</f>
        <v/>
      </c>
      <c r="R4" s="21" t="str">
        <f>IF(AND(8&gt;=1,8&lt;1+1),1,"")</f>
        <v/>
      </c>
      <c r="S4" s="21" t="str">
        <f>IF(AND(9&gt;=1,9&lt;1+1),1,"")</f>
        <v/>
      </c>
      <c r="T4" s="21" t="str">
        <f>IF(AND(10&gt;=1,10&lt;1+1),1,"")</f>
        <v/>
      </c>
      <c r="U4" s="21" t="str">
        <f>IF(AND(11&gt;=1,11&lt;1+1),1,"")</f>
        <v/>
      </c>
      <c r="V4" s="21" t="str">
        <f>IF(AND(12&gt;=1,12&lt;1+1),1,"")</f>
        <v/>
      </c>
      <c r="W4" s="21" t="str">
        <f>IF(AND(13&gt;=1,13&lt;1+1),1,"")</f>
        <v/>
      </c>
      <c r="X4" s="21" t="str">
        <f>IF(AND(14&gt;=1,14&lt;1+1),1,"")</f>
        <v/>
      </c>
      <c r="Y4" s="21" t="str">
        <f>IF(AND(15&gt;=1,15&lt;1+1),1,"")</f>
        <v/>
      </c>
      <c r="Z4" s="23" t="str">
        <f>IF(AND(16&gt;=1,16&lt;1+1),1,"")</f>
        <v/>
      </c>
    </row>
    <row r="5" spans="1:26">
      <c r="A5" s="24">
        <v>2</v>
      </c>
      <c r="B5" s="1" t="s">
        <v>52</v>
      </c>
      <c r="C5" s="1" t="s">
        <v>57</v>
      </c>
      <c r="D5" s="25">
        <v>46230</v>
      </c>
      <c r="E5" s="25">
        <v>46236</v>
      </c>
      <c r="F5" s="1">
        <v>1</v>
      </c>
      <c r="G5" s="1" t="s">
        <v>54</v>
      </c>
      <c r="H5" s="1" t="s">
        <v>55</v>
      </c>
      <c r="I5" s="1" t="s">
        <v>56</v>
      </c>
      <c r="J5" s="1" t="s">
        <v>58</v>
      </c>
      <c r="K5" s="1">
        <f>IF(AND(1&gt;=1,1&lt;1+1),1,"")</f>
        <v>1</v>
      </c>
      <c r="L5" s="1" t="str">
        <f>IF(AND(2&gt;=1,2&lt;1+1),1,"")</f>
        <v/>
      </c>
      <c r="M5" s="1" t="str">
        <f>IF(AND(3&gt;=1,3&lt;1+1),1,"")</f>
        <v/>
      </c>
      <c r="N5" s="1" t="str">
        <f>IF(AND(4&gt;=1,4&lt;1+1),1,"")</f>
        <v/>
      </c>
      <c r="O5" s="1" t="str">
        <f>IF(AND(5&gt;=1,5&lt;1+1),1,"")</f>
        <v/>
      </c>
      <c r="P5" s="1" t="str">
        <f>IF(AND(6&gt;=1,6&lt;1+1),1,"")</f>
        <v/>
      </c>
      <c r="Q5" s="1" t="str">
        <f>IF(AND(7&gt;=1,7&lt;1+1),1,"")</f>
        <v/>
      </c>
      <c r="R5" s="1" t="str">
        <f>IF(AND(8&gt;=1,8&lt;1+1),1,"")</f>
        <v/>
      </c>
      <c r="S5" s="1" t="str">
        <f>IF(AND(9&gt;=1,9&lt;1+1),1,"")</f>
        <v/>
      </c>
      <c r="T5" s="1" t="str">
        <f>IF(AND(10&gt;=1,10&lt;1+1),1,"")</f>
        <v/>
      </c>
      <c r="U5" s="1" t="str">
        <f>IF(AND(11&gt;=1,11&lt;1+1),1,"")</f>
        <v/>
      </c>
      <c r="V5" s="1" t="str">
        <f>IF(AND(12&gt;=1,12&lt;1+1),1,"")</f>
        <v/>
      </c>
      <c r="W5" s="1" t="str">
        <f>IF(AND(13&gt;=1,13&lt;1+1),1,"")</f>
        <v/>
      </c>
      <c r="X5" s="1" t="str">
        <f>IF(AND(14&gt;=1,14&lt;1+1),1,"")</f>
        <v/>
      </c>
      <c r="Y5" s="1" t="str">
        <f>IF(AND(15&gt;=1,15&lt;1+1),1,"")</f>
        <v/>
      </c>
      <c r="Z5" s="26" t="str">
        <f>IF(AND(16&gt;=1,16&lt;1+1),1,"")</f>
        <v/>
      </c>
    </row>
    <row r="6" spans="1:26">
      <c r="A6" s="24">
        <v>3</v>
      </c>
      <c r="B6" s="1" t="s">
        <v>52</v>
      </c>
      <c r="C6" s="1" t="s">
        <v>59</v>
      </c>
      <c r="D6" s="25">
        <v>46230</v>
      </c>
      <c r="E6" s="25">
        <v>46236</v>
      </c>
      <c r="F6" s="1">
        <v>1</v>
      </c>
      <c r="G6" s="1" t="s">
        <v>54</v>
      </c>
      <c r="H6" s="1" t="s">
        <v>55</v>
      </c>
      <c r="I6" s="1" t="s">
        <v>56</v>
      </c>
      <c r="J6" s="1" t="s">
        <v>60</v>
      </c>
      <c r="K6" s="1">
        <f>IF(AND(1&gt;=1,1&lt;1+1),1,"")</f>
        <v>1</v>
      </c>
      <c r="L6" s="1" t="str">
        <f>IF(AND(2&gt;=1,2&lt;1+1),1,"")</f>
        <v/>
      </c>
      <c r="M6" s="1" t="str">
        <f>IF(AND(3&gt;=1,3&lt;1+1),1,"")</f>
        <v/>
      </c>
      <c r="N6" s="1" t="str">
        <f>IF(AND(4&gt;=1,4&lt;1+1),1,"")</f>
        <v/>
      </c>
      <c r="O6" s="1" t="str">
        <f>IF(AND(5&gt;=1,5&lt;1+1),1,"")</f>
        <v/>
      </c>
      <c r="P6" s="1" t="str">
        <f>IF(AND(6&gt;=1,6&lt;1+1),1,"")</f>
        <v/>
      </c>
      <c r="Q6" s="1" t="str">
        <f>IF(AND(7&gt;=1,7&lt;1+1),1,"")</f>
        <v/>
      </c>
      <c r="R6" s="1" t="str">
        <f>IF(AND(8&gt;=1,8&lt;1+1),1,"")</f>
        <v/>
      </c>
      <c r="S6" s="1" t="str">
        <f>IF(AND(9&gt;=1,9&lt;1+1),1,"")</f>
        <v/>
      </c>
      <c r="T6" s="1" t="str">
        <f>IF(AND(10&gt;=1,10&lt;1+1),1,"")</f>
        <v/>
      </c>
      <c r="U6" s="1" t="str">
        <f>IF(AND(11&gt;=1,11&lt;1+1),1,"")</f>
        <v/>
      </c>
      <c r="V6" s="1" t="str">
        <f>IF(AND(12&gt;=1,12&lt;1+1),1,"")</f>
        <v/>
      </c>
      <c r="W6" s="1" t="str">
        <f>IF(AND(13&gt;=1,13&lt;1+1),1,"")</f>
        <v/>
      </c>
      <c r="X6" s="1" t="str">
        <f>IF(AND(14&gt;=1,14&lt;1+1),1,"")</f>
        <v/>
      </c>
      <c r="Y6" s="1" t="str">
        <f>IF(AND(15&gt;=1,15&lt;1+1),1,"")</f>
        <v/>
      </c>
      <c r="Z6" s="26" t="str">
        <f>IF(AND(16&gt;=1,16&lt;1+1),1,"")</f>
        <v/>
      </c>
    </row>
    <row r="7" spans="1:26" ht="28.5">
      <c r="A7" s="24">
        <v>4</v>
      </c>
      <c r="B7" s="1" t="s">
        <v>61</v>
      </c>
      <c r="C7" s="1" t="s">
        <v>62</v>
      </c>
      <c r="D7" s="25">
        <v>46237</v>
      </c>
      <c r="E7" s="25">
        <v>46243</v>
      </c>
      <c r="F7" s="1">
        <v>1</v>
      </c>
      <c r="G7" s="1" t="s">
        <v>54</v>
      </c>
      <c r="H7" s="1" t="s">
        <v>55</v>
      </c>
      <c r="I7" s="1" t="s">
        <v>56</v>
      </c>
      <c r="J7" s="1" t="s">
        <v>63</v>
      </c>
      <c r="K7" s="1" t="str">
        <f>IF(AND(1&gt;=2,1&lt;2+1),1,"")</f>
        <v/>
      </c>
      <c r="L7" s="1">
        <f>IF(AND(2&gt;=2,2&lt;2+1),1,"")</f>
        <v>1</v>
      </c>
      <c r="M7" s="1" t="str">
        <f>IF(AND(3&gt;=2,3&lt;2+1),1,"")</f>
        <v/>
      </c>
      <c r="N7" s="1" t="str">
        <f>IF(AND(4&gt;=2,4&lt;2+1),1,"")</f>
        <v/>
      </c>
      <c r="O7" s="1" t="str">
        <f>IF(AND(5&gt;=2,5&lt;2+1),1,"")</f>
        <v/>
      </c>
      <c r="P7" s="1" t="str">
        <f>IF(AND(6&gt;=2,6&lt;2+1),1,"")</f>
        <v/>
      </c>
      <c r="Q7" s="1" t="str">
        <f>IF(AND(7&gt;=2,7&lt;2+1),1,"")</f>
        <v/>
      </c>
      <c r="R7" s="1" t="str">
        <f>IF(AND(8&gt;=2,8&lt;2+1),1,"")</f>
        <v/>
      </c>
      <c r="S7" s="1" t="str">
        <f>IF(AND(9&gt;=2,9&lt;2+1),1,"")</f>
        <v/>
      </c>
      <c r="T7" s="1" t="str">
        <f>IF(AND(10&gt;=2,10&lt;2+1),1,"")</f>
        <v/>
      </c>
      <c r="U7" s="1" t="str">
        <f>IF(AND(11&gt;=2,11&lt;2+1),1,"")</f>
        <v/>
      </c>
      <c r="V7" s="1" t="str">
        <f>IF(AND(12&gt;=2,12&lt;2+1),1,"")</f>
        <v/>
      </c>
      <c r="W7" s="1" t="str">
        <f>IF(AND(13&gt;=2,13&lt;2+1),1,"")</f>
        <v/>
      </c>
      <c r="X7" s="1" t="str">
        <f>IF(AND(14&gt;=2,14&lt;2+1),1,"")</f>
        <v/>
      </c>
      <c r="Y7" s="1" t="str">
        <f>IF(AND(15&gt;=2,15&lt;2+1),1,"")</f>
        <v/>
      </c>
      <c r="Z7" s="26" t="str">
        <f>IF(AND(16&gt;=2,16&lt;2+1),1,"")</f>
        <v/>
      </c>
    </row>
    <row r="8" spans="1:26" ht="28.5">
      <c r="A8" s="24">
        <v>5</v>
      </c>
      <c r="B8" s="1" t="s">
        <v>61</v>
      </c>
      <c r="C8" s="1" t="s">
        <v>64</v>
      </c>
      <c r="D8" s="25">
        <v>46237</v>
      </c>
      <c r="E8" s="25">
        <v>46243</v>
      </c>
      <c r="F8" s="1">
        <v>1</v>
      </c>
      <c r="G8" s="1" t="s">
        <v>54</v>
      </c>
      <c r="H8" s="1" t="s">
        <v>55</v>
      </c>
      <c r="I8" s="1" t="s">
        <v>56</v>
      </c>
      <c r="J8" s="1" t="s">
        <v>65</v>
      </c>
      <c r="K8" s="1" t="str">
        <f>IF(AND(1&gt;=2,1&lt;2+1),1,"")</f>
        <v/>
      </c>
      <c r="L8" s="1">
        <f>IF(AND(2&gt;=2,2&lt;2+1),1,"")</f>
        <v>1</v>
      </c>
      <c r="M8" s="1" t="str">
        <f>IF(AND(3&gt;=2,3&lt;2+1),1,"")</f>
        <v/>
      </c>
      <c r="N8" s="1" t="str">
        <f>IF(AND(4&gt;=2,4&lt;2+1),1,"")</f>
        <v/>
      </c>
      <c r="O8" s="1" t="str">
        <f>IF(AND(5&gt;=2,5&lt;2+1),1,"")</f>
        <v/>
      </c>
      <c r="P8" s="1" t="str">
        <f>IF(AND(6&gt;=2,6&lt;2+1),1,"")</f>
        <v/>
      </c>
      <c r="Q8" s="1" t="str">
        <f>IF(AND(7&gt;=2,7&lt;2+1),1,"")</f>
        <v/>
      </c>
      <c r="R8" s="1" t="str">
        <f>IF(AND(8&gt;=2,8&lt;2+1),1,"")</f>
        <v/>
      </c>
      <c r="S8" s="1" t="str">
        <f>IF(AND(9&gt;=2,9&lt;2+1),1,"")</f>
        <v/>
      </c>
      <c r="T8" s="1" t="str">
        <f>IF(AND(10&gt;=2,10&lt;2+1),1,"")</f>
        <v/>
      </c>
      <c r="U8" s="1" t="str">
        <f>IF(AND(11&gt;=2,11&lt;2+1),1,"")</f>
        <v/>
      </c>
      <c r="V8" s="1" t="str">
        <f>IF(AND(12&gt;=2,12&lt;2+1),1,"")</f>
        <v/>
      </c>
      <c r="W8" s="1" t="str">
        <f>IF(AND(13&gt;=2,13&lt;2+1),1,"")</f>
        <v/>
      </c>
      <c r="X8" s="1" t="str">
        <f>IF(AND(14&gt;=2,14&lt;2+1),1,"")</f>
        <v/>
      </c>
      <c r="Y8" s="1" t="str">
        <f>IF(AND(15&gt;=2,15&lt;2+1),1,"")</f>
        <v/>
      </c>
      <c r="Z8" s="26" t="str">
        <f>IF(AND(16&gt;=2,16&lt;2+1),1,"")</f>
        <v/>
      </c>
    </row>
    <row r="9" spans="1:26">
      <c r="A9" s="24">
        <v>6</v>
      </c>
      <c r="B9" s="1" t="s">
        <v>66</v>
      </c>
      <c r="C9" s="1" t="s">
        <v>67</v>
      </c>
      <c r="D9" s="25">
        <v>46244</v>
      </c>
      <c r="E9" s="25">
        <v>46257</v>
      </c>
      <c r="F9" s="1">
        <v>2</v>
      </c>
      <c r="G9" s="1" t="s">
        <v>54</v>
      </c>
      <c r="H9" s="1" t="s">
        <v>55</v>
      </c>
      <c r="I9" s="1" t="s">
        <v>56</v>
      </c>
      <c r="J9" s="1" t="s">
        <v>68</v>
      </c>
      <c r="K9" s="1" t="str">
        <f>IF(AND(1&gt;=3,1&lt;3+2),1,"")</f>
        <v/>
      </c>
      <c r="L9" s="1" t="str">
        <f>IF(AND(2&gt;=3,2&lt;3+2),1,"")</f>
        <v/>
      </c>
      <c r="M9" s="1">
        <f>IF(AND(3&gt;=3,3&lt;3+2),1,"")</f>
        <v>1</v>
      </c>
      <c r="N9" s="1">
        <f>IF(AND(4&gt;=3,4&lt;3+2),1,"")</f>
        <v>1</v>
      </c>
      <c r="O9" s="1" t="str">
        <f>IF(AND(5&gt;=3,5&lt;3+2),1,"")</f>
        <v/>
      </c>
      <c r="P9" s="1" t="str">
        <f>IF(AND(6&gt;=3,6&lt;3+2),1,"")</f>
        <v/>
      </c>
      <c r="Q9" s="1" t="str">
        <f>IF(AND(7&gt;=3,7&lt;3+2),1,"")</f>
        <v/>
      </c>
      <c r="R9" s="1" t="str">
        <f>IF(AND(8&gt;=3,8&lt;3+2),1,"")</f>
        <v/>
      </c>
      <c r="S9" s="1" t="str">
        <f>IF(AND(9&gt;=3,9&lt;3+2),1,"")</f>
        <v/>
      </c>
      <c r="T9" s="1" t="str">
        <f>IF(AND(10&gt;=3,10&lt;3+2),1,"")</f>
        <v/>
      </c>
      <c r="U9" s="1" t="str">
        <f>IF(AND(11&gt;=3,11&lt;3+2),1,"")</f>
        <v/>
      </c>
      <c r="V9" s="1" t="str">
        <f>IF(AND(12&gt;=3,12&lt;3+2),1,"")</f>
        <v/>
      </c>
      <c r="W9" s="1" t="str">
        <f>IF(AND(13&gt;=3,13&lt;3+2),1,"")</f>
        <v/>
      </c>
      <c r="X9" s="1" t="str">
        <f>IF(AND(14&gt;=3,14&lt;3+2),1,"")</f>
        <v/>
      </c>
      <c r="Y9" s="1" t="str">
        <f>IF(AND(15&gt;=3,15&lt;3+2),1,"")</f>
        <v/>
      </c>
      <c r="Z9" s="26" t="str">
        <f>IF(AND(16&gt;=3,16&lt;3+2),1,"")</f>
        <v/>
      </c>
    </row>
    <row r="10" spans="1:26">
      <c r="A10" s="24">
        <v>7</v>
      </c>
      <c r="B10" s="1" t="s">
        <v>66</v>
      </c>
      <c r="C10" s="1" t="s">
        <v>69</v>
      </c>
      <c r="D10" s="25">
        <v>46251</v>
      </c>
      <c r="E10" s="25">
        <v>46264</v>
      </c>
      <c r="F10" s="1">
        <v>2</v>
      </c>
      <c r="G10" s="1" t="s">
        <v>54</v>
      </c>
      <c r="H10" s="1" t="s">
        <v>55</v>
      </c>
      <c r="I10" s="1" t="s">
        <v>56</v>
      </c>
      <c r="J10" s="1" t="s">
        <v>70</v>
      </c>
      <c r="K10" s="1" t="str">
        <f>IF(AND(1&gt;=4,1&lt;4+2),1,"")</f>
        <v/>
      </c>
      <c r="L10" s="1" t="str">
        <f>IF(AND(2&gt;=4,2&lt;4+2),1,"")</f>
        <v/>
      </c>
      <c r="M10" s="1" t="str">
        <f>IF(AND(3&gt;=4,3&lt;4+2),1,"")</f>
        <v/>
      </c>
      <c r="N10" s="1">
        <f>IF(AND(4&gt;=4,4&lt;4+2),1,"")</f>
        <v>1</v>
      </c>
      <c r="O10" s="1">
        <f>IF(AND(5&gt;=4,5&lt;4+2),1,"")</f>
        <v>1</v>
      </c>
      <c r="P10" s="1" t="str">
        <f>IF(AND(6&gt;=4,6&lt;4+2),1,"")</f>
        <v/>
      </c>
      <c r="Q10" s="1" t="str">
        <f>IF(AND(7&gt;=4,7&lt;4+2),1,"")</f>
        <v/>
      </c>
      <c r="R10" s="1" t="str">
        <f>IF(AND(8&gt;=4,8&lt;4+2),1,"")</f>
        <v/>
      </c>
      <c r="S10" s="1" t="str">
        <f>IF(AND(9&gt;=4,9&lt;4+2),1,"")</f>
        <v/>
      </c>
      <c r="T10" s="1" t="str">
        <f>IF(AND(10&gt;=4,10&lt;4+2),1,"")</f>
        <v/>
      </c>
      <c r="U10" s="1" t="str">
        <f>IF(AND(11&gt;=4,11&lt;4+2),1,"")</f>
        <v/>
      </c>
      <c r="V10" s="1" t="str">
        <f>IF(AND(12&gt;=4,12&lt;4+2),1,"")</f>
        <v/>
      </c>
      <c r="W10" s="1" t="str">
        <f>IF(AND(13&gt;=4,13&lt;4+2),1,"")</f>
        <v/>
      </c>
      <c r="X10" s="1" t="str">
        <f>IF(AND(14&gt;=4,14&lt;4+2),1,"")</f>
        <v/>
      </c>
      <c r="Y10" s="1" t="str">
        <f>IF(AND(15&gt;=4,15&lt;4+2),1,"")</f>
        <v/>
      </c>
      <c r="Z10" s="26" t="str">
        <f>IF(AND(16&gt;=4,16&lt;4+2),1,"")</f>
        <v/>
      </c>
    </row>
    <row r="11" spans="1:26">
      <c r="A11" s="24">
        <v>8</v>
      </c>
      <c r="B11" s="1" t="s">
        <v>71</v>
      </c>
      <c r="C11" s="1" t="s">
        <v>72</v>
      </c>
      <c r="D11" s="25">
        <v>46258</v>
      </c>
      <c r="E11" s="25">
        <v>46271</v>
      </c>
      <c r="F11" s="1">
        <v>2</v>
      </c>
      <c r="G11" s="1" t="s">
        <v>54</v>
      </c>
      <c r="H11" s="1" t="s">
        <v>55</v>
      </c>
      <c r="I11" s="1" t="s">
        <v>56</v>
      </c>
      <c r="J11" s="1" t="s">
        <v>73</v>
      </c>
      <c r="K11" s="1" t="str">
        <f>IF(AND(1&gt;=5,1&lt;5+2),1,"")</f>
        <v/>
      </c>
      <c r="L11" s="1" t="str">
        <f>IF(AND(2&gt;=5,2&lt;5+2),1,"")</f>
        <v/>
      </c>
      <c r="M11" s="1" t="str">
        <f>IF(AND(3&gt;=5,3&lt;5+2),1,"")</f>
        <v/>
      </c>
      <c r="N11" s="1" t="str">
        <f>IF(AND(4&gt;=5,4&lt;5+2),1,"")</f>
        <v/>
      </c>
      <c r="O11" s="1">
        <f>IF(AND(5&gt;=5,5&lt;5+2),1,"")</f>
        <v>1</v>
      </c>
      <c r="P11" s="1">
        <f>IF(AND(6&gt;=5,6&lt;5+2),1,"")</f>
        <v>1</v>
      </c>
      <c r="Q11" s="1" t="str">
        <f>IF(AND(7&gt;=5,7&lt;5+2),1,"")</f>
        <v/>
      </c>
      <c r="R11" s="1" t="str">
        <f>IF(AND(8&gt;=5,8&lt;5+2),1,"")</f>
        <v/>
      </c>
      <c r="S11" s="1" t="str">
        <f>IF(AND(9&gt;=5,9&lt;5+2),1,"")</f>
        <v/>
      </c>
      <c r="T11" s="1" t="str">
        <f>IF(AND(10&gt;=5,10&lt;5+2),1,"")</f>
        <v/>
      </c>
      <c r="U11" s="1" t="str">
        <f>IF(AND(11&gt;=5,11&lt;5+2),1,"")</f>
        <v/>
      </c>
      <c r="V11" s="1" t="str">
        <f>IF(AND(12&gt;=5,12&lt;5+2),1,"")</f>
        <v/>
      </c>
      <c r="W11" s="1" t="str">
        <f>IF(AND(13&gt;=5,13&lt;5+2),1,"")</f>
        <v/>
      </c>
      <c r="X11" s="1" t="str">
        <f>IF(AND(14&gt;=5,14&lt;5+2),1,"")</f>
        <v/>
      </c>
      <c r="Y11" s="1" t="str">
        <f>IF(AND(15&gt;=5,15&lt;5+2),1,"")</f>
        <v/>
      </c>
      <c r="Z11" s="26" t="str">
        <f>IF(AND(16&gt;=5,16&lt;5+2),1,"")</f>
        <v/>
      </c>
    </row>
    <row r="12" spans="1:26">
      <c r="A12" s="24">
        <v>9</v>
      </c>
      <c r="B12" s="1" t="s">
        <v>74</v>
      </c>
      <c r="C12" s="1" t="s">
        <v>75</v>
      </c>
      <c r="D12" s="25">
        <v>46265</v>
      </c>
      <c r="E12" s="25">
        <v>46271</v>
      </c>
      <c r="F12" s="1">
        <v>1</v>
      </c>
      <c r="G12" s="1" t="s">
        <v>54</v>
      </c>
      <c r="H12" s="1" t="s">
        <v>55</v>
      </c>
      <c r="I12" s="1" t="s">
        <v>56</v>
      </c>
      <c r="J12" s="1" t="s">
        <v>76</v>
      </c>
      <c r="K12" s="1" t="str">
        <f>IF(AND(1&gt;=6,1&lt;6+1),1,"")</f>
        <v/>
      </c>
      <c r="L12" s="1" t="str">
        <f>IF(AND(2&gt;=6,2&lt;6+1),1,"")</f>
        <v/>
      </c>
      <c r="M12" s="1" t="str">
        <f>IF(AND(3&gt;=6,3&lt;6+1),1,"")</f>
        <v/>
      </c>
      <c r="N12" s="1" t="str">
        <f>IF(AND(4&gt;=6,4&lt;6+1),1,"")</f>
        <v/>
      </c>
      <c r="O12" s="1" t="str">
        <f>IF(AND(5&gt;=6,5&lt;6+1),1,"")</f>
        <v/>
      </c>
      <c r="P12" s="1">
        <f>IF(AND(6&gt;=6,6&lt;6+1),1,"")</f>
        <v>1</v>
      </c>
      <c r="Q12" s="1" t="str">
        <f>IF(AND(7&gt;=6,7&lt;6+1),1,"")</f>
        <v/>
      </c>
      <c r="R12" s="1" t="str">
        <f>IF(AND(8&gt;=6,8&lt;6+1),1,"")</f>
        <v/>
      </c>
      <c r="S12" s="1" t="str">
        <f>IF(AND(9&gt;=6,9&lt;6+1),1,"")</f>
        <v/>
      </c>
      <c r="T12" s="1" t="str">
        <f>IF(AND(10&gt;=6,10&lt;6+1),1,"")</f>
        <v/>
      </c>
      <c r="U12" s="1" t="str">
        <f>IF(AND(11&gt;=6,11&lt;6+1),1,"")</f>
        <v/>
      </c>
      <c r="V12" s="1" t="str">
        <f>IF(AND(12&gt;=6,12&lt;6+1),1,"")</f>
        <v/>
      </c>
      <c r="W12" s="1" t="str">
        <f>IF(AND(13&gt;=6,13&lt;6+1),1,"")</f>
        <v/>
      </c>
      <c r="X12" s="1" t="str">
        <f>IF(AND(14&gt;=6,14&lt;6+1),1,"")</f>
        <v/>
      </c>
      <c r="Y12" s="1" t="str">
        <f>IF(AND(15&gt;=6,15&lt;6+1),1,"")</f>
        <v/>
      </c>
      <c r="Z12" s="26" t="str">
        <f>IF(AND(16&gt;=6,16&lt;6+1),1,"")</f>
        <v/>
      </c>
    </row>
    <row r="13" spans="1:26">
      <c r="A13" s="24">
        <v>10</v>
      </c>
      <c r="B13" s="1" t="s">
        <v>77</v>
      </c>
      <c r="C13" s="1" t="s">
        <v>78</v>
      </c>
      <c r="D13" s="25">
        <v>46272</v>
      </c>
      <c r="E13" s="25">
        <v>46285</v>
      </c>
      <c r="F13" s="1">
        <v>2</v>
      </c>
      <c r="G13" s="1" t="s">
        <v>54</v>
      </c>
      <c r="H13" s="1" t="s">
        <v>55</v>
      </c>
      <c r="I13" s="1" t="s">
        <v>56</v>
      </c>
      <c r="J13" s="1" t="s">
        <v>79</v>
      </c>
      <c r="K13" s="1" t="str">
        <f>IF(AND(1&gt;=7,1&lt;7+2),1,"")</f>
        <v/>
      </c>
      <c r="L13" s="1" t="str">
        <f>IF(AND(2&gt;=7,2&lt;7+2),1,"")</f>
        <v/>
      </c>
      <c r="M13" s="1" t="str">
        <f>IF(AND(3&gt;=7,3&lt;7+2),1,"")</f>
        <v/>
      </c>
      <c r="N13" s="1" t="str">
        <f>IF(AND(4&gt;=7,4&lt;7+2),1,"")</f>
        <v/>
      </c>
      <c r="O13" s="1" t="str">
        <f>IF(AND(5&gt;=7,5&lt;7+2),1,"")</f>
        <v/>
      </c>
      <c r="P13" s="1" t="str">
        <f>IF(AND(6&gt;=7,6&lt;7+2),1,"")</f>
        <v/>
      </c>
      <c r="Q13" s="1">
        <f>IF(AND(7&gt;=7,7&lt;7+2),1,"")</f>
        <v>1</v>
      </c>
      <c r="R13" s="1">
        <f>IF(AND(8&gt;=7,8&lt;7+2),1,"")</f>
        <v>1</v>
      </c>
      <c r="S13" s="1" t="str">
        <f>IF(AND(9&gt;=7,9&lt;7+2),1,"")</f>
        <v/>
      </c>
      <c r="T13" s="1" t="str">
        <f>IF(AND(10&gt;=7,10&lt;7+2),1,"")</f>
        <v/>
      </c>
      <c r="U13" s="1" t="str">
        <f>IF(AND(11&gt;=7,11&lt;7+2),1,"")</f>
        <v/>
      </c>
      <c r="V13" s="1" t="str">
        <f>IF(AND(12&gt;=7,12&lt;7+2),1,"")</f>
        <v/>
      </c>
      <c r="W13" s="1" t="str">
        <f>IF(AND(13&gt;=7,13&lt;7+2),1,"")</f>
        <v/>
      </c>
      <c r="X13" s="1" t="str">
        <f>IF(AND(14&gt;=7,14&lt;7+2),1,"")</f>
        <v/>
      </c>
      <c r="Y13" s="1" t="str">
        <f>IF(AND(15&gt;=7,15&lt;7+2),1,"")</f>
        <v/>
      </c>
      <c r="Z13" s="26" t="str">
        <f>IF(AND(16&gt;=7,16&lt;7+2),1,"")</f>
        <v/>
      </c>
    </row>
    <row r="14" spans="1:26">
      <c r="A14" s="24">
        <v>11</v>
      </c>
      <c r="B14" s="1" t="s">
        <v>77</v>
      </c>
      <c r="C14" s="1" t="s">
        <v>80</v>
      </c>
      <c r="D14" s="25">
        <v>46279</v>
      </c>
      <c r="E14" s="25">
        <v>46292</v>
      </c>
      <c r="F14" s="1">
        <v>2</v>
      </c>
      <c r="G14" s="1" t="s">
        <v>54</v>
      </c>
      <c r="H14" s="1" t="s">
        <v>55</v>
      </c>
      <c r="I14" s="1" t="s">
        <v>56</v>
      </c>
      <c r="J14" s="1" t="s">
        <v>81</v>
      </c>
      <c r="K14" s="1" t="str">
        <f>IF(AND(1&gt;=8,1&lt;8+2),1,"")</f>
        <v/>
      </c>
      <c r="L14" s="1" t="str">
        <f>IF(AND(2&gt;=8,2&lt;8+2),1,"")</f>
        <v/>
      </c>
      <c r="M14" s="1" t="str">
        <f>IF(AND(3&gt;=8,3&lt;8+2),1,"")</f>
        <v/>
      </c>
      <c r="N14" s="1" t="str">
        <f>IF(AND(4&gt;=8,4&lt;8+2),1,"")</f>
        <v/>
      </c>
      <c r="O14" s="1" t="str">
        <f>IF(AND(5&gt;=8,5&lt;8+2),1,"")</f>
        <v/>
      </c>
      <c r="P14" s="1" t="str">
        <f>IF(AND(6&gt;=8,6&lt;8+2),1,"")</f>
        <v/>
      </c>
      <c r="Q14" s="1" t="str">
        <f>IF(AND(7&gt;=8,7&lt;8+2),1,"")</f>
        <v/>
      </c>
      <c r="R14" s="1">
        <f>IF(AND(8&gt;=8,8&lt;8+2),1,"")</f>
        <v>1</v>
      </c>
      <c r="S14" s="1">
        <f>IF(AND(9&gt;=8,9&lt;8+2),1,"")</f>
        <v>1</v>
      </c>
      <c r="T14" s="1" t="str">
        <f>IF(AND(10&gt;=8,10&lt;8+2),1,"")</f>
        <v/>
      </c>
      <c r="U14" s="1" t="str">
        <f>IF(AND(11&gt;=8,11&lt;8+2),1,"")</f>
        <v/>
      </c>
      <c r="V14" s="1" t="str">
        <f>IF(AND(12&gt;=8,12&lt;8+2),1,"")</f>
        <v/>
      </c>
      <c r="W14" s="1" t="str">
        <f>IF(AND(13&gt;=8,13&lt;8+2),1,"")</f>
        <v/>
      </c>
      <c r="X14" s="1" t="str">
        <f>IF(AND(14&gt;=8,14&lt;8+2),1,"")</f>
        <v/>
      </c>
      <c r="Y14" s="1" t="str">
        <f>IF(AND(15&gt;=8,15&lt;8+2),1,"")</f>
        <v/>
      </c>
      <c r="Z14" s="26" t="str">
        <f>IF(AND(16&gt;=8,16&lt;8+2),1,"")</f>
        <v/>
      </c>
    </row>
    <row r="15" spans="1:26" ht="28.5">
      <c r="A15" s="24">
        <v>12</v>
      </c>
      <c r="B15" s="1" t="s">
        <v>82</v>
      </c>
      <c r="C15" s="1" t="s">
        <v>83</v>
      </c>
      <c r="D15" s="25">
        <v>46286</v>
      </c>
      <c r="E15" s="25">
        <v>46299</v>
      </c>
      <c r="F15" s="1">
        <v>2</v>
      </c>
      <c r="G15" s="1" t="s">
        <v>54</v>
      </c>
      <c r="H15" s="1" t="s">
        <v>55</v>
      </c>
      <c r="I15" s="1" t="s">
        <v>56</v>
      </c>
      <c r="J15" s="1" t="s">
        <v>84</v>
      </c>
      <c r="K15" s="1" t="str">
        <f>IF(AND(1&gt;=9,1&lt;9+2),1,"")</f>
        <v/>
      </c>
      <c r="L15" s="1" t="str">
        <f>IF(AND(2&gt;=9,2&lt;9+2),1,"")</f>
        <v/>
      </c>
      <c r="M15" s="1" t="str">
        <f>IF(AND(3&gt;=9,3&lt;9+2),1,"")</f>
        <v/>
      </c>
      <c r="N15" s="1" t="str">
        <f>IF(AND(4&gt;=9,4&lt;9+2),1,"")</f>
        <v/>
      </c>
      <c r="O15" s="1" t="str">
        <f>IF(AND(5&gt;=9,5&lt;9+2),1,"")</f>
        <v/>
      </c>
      <c r="P15" s="1" t="str">
        <f>IF(AND(6&gt;=9,6&lt;9+2),1,"")</f>
        <v/>
      </c>
      <c r="Q15" s="1" t="str">
        <f>IF(AND(7&gt;=9,7&lt;9+2),1,"")</f>
        <v/>
      </c>
      <c r="R15" s="1" t="str">
        <f>IF(AND(8&gt;=9,8&lt;9+2),1,"")</f>
        <v/>
      </c>
      <c r="S15" s="1">
        <f>IF(AND(9&gt;=9,9&lt;9+2),1,"")</f>
        <v>1</v>
      </c>
      <c r="T15" s="1">
        <f>IF(AND(10&gt;=9,10&lt;9+2),1,"")</f>
        <v>1</v>
      </c>
      <c r="U15" s="1" t="str">
        <f>IF(AND(11&gt;=9,11&lt;9+2),1,"")</f>
        <v/>
      </c>
      <c r="V15" s="1" t="str">
        <f>IF(AND(12&gt;=9,12&lt;9+2),1,"")</f>
        <v/>
      </c>
      <c r="W15" s="1" t="str">
        <f>IF(AND(13&gt;=9,13&lt;9+2),1,"")</f>
        <v/>
      </c>
      <c r="X15" s="1" t="str">
        <f>IF(AND(14&gt;=9,14&lt;9+2),1,"")</f>
        <v/>
      </c>
      <c r="Y15" s="1" t="str">
        <f>IF(AND(15&gt;=9,15&lt;9+2),1,"")</f>
        <v/>
      </c>
      <c r="Z15" s="26" t="str">
        <f>IF(AND(16&gt;=9,16&lt;9+2),1,"")</f>
        <v/>
      </c>
    </row>
    <row r="16" spans="1:26">
      <c r="A16" s="24">
        <v>13</v>
      </c>
      <c r="B16" s="1" t="s">
        <v>85</v>
      </c>
      <c r="C16" s="1" t="s">
        <v>86</v>
      </c>
      <c r="D16" s="25">
        <v>46293</v>
      </c>
      <c r="E16" s="25">
        <v>46306</v>
      </c>
      <c r="F16" s="1">
        <v>2</v>
      </c>
      <c r="G16" s="1" t="s">
        <v>54</v>
      </c>
      <c r="H16" s="1" t="s">
        <v>87</v>
      </c>
      <c r="I16" s="1" t="s">
        <v>56</v>
      </c>
      <c r="J16" s="1" t="s">
        <v>88</v>
      </c>
      <c r="K16" s="1" t="str">
        <f>IF(AND(1&gt;=10,1&lt;10+2),1,"")</f>
        <v/>
      </c>
      <c r="L16" s="1" t="str">
        <f>IF(AND(2&gt;=10,2&lt;10+2),1,"")</f>
        <v/>
      </c>
      <c r="M16" s="1" t="str">
        <f>IF(AND(3&gt;=10,3&lt;10+2),1,"")</f>
        <v/>
      </c>
      <c r="N16" s="1" t="str">
        <f>IF(AND(4&gt;=10,4&lt;10+2),1,"")</f>
        <v/>
      </c>
      <c r="O16" s="1" t="str">
        <f>IF(AND(5&gt;=10,5&lt;10+2),1,"")</f>
        <v/>
      </c>
      <c r="P16" s="1" t="str">
        <f>IF(AND(6&gt;=10,6&lt;10+2),1,"")</f>
        <v/>
      </c>
      <c r="Q16" s="1" t="str">
        <f>IF(AND(7&gt;=10,7&lt;10+2),1,"")</f>
        <v/>
      </c>
      <c r="R16" s="1" t="str">
        <f>IF(AND(8&gt;=10,8&lt;10+2),1,"")</f>
        <v/>
      </c>
      <c r="S16" s="1" t="str">
        <f>IF(AND(9&gt;=10,9&lt;10+2),1,"")</f>
        <v/>
      </c>
      <c r="T16" s="1">
        <f>IF(AND(10&gt;=10,10&lt;10+2),1,"")</f>
        <v>1</v>
      </c>
      <c r="U16" s="1">
        <f>IF(AND(11&gt;=10,11&lt;10+2),1,"")</f>
        <v>1</v>
      </c>
      <c r="V16" s="1" t="str">
        <f>IF(AND(12&gt;=10,12&lt;10+2),1,"")</f>
        <v/>
      </c>
      <c r="W16" s="1" t="str">
        <f>IF(AND(13&gt;=10,13&lt;10+2),1,"")</f>
        <v/>
      </c>
      <c r="X16" s="1" t="str">
        <f>IF(AND(14&gt;=10,14&lt;10+2),1,"")</f>
        <v/>
      </c>
      <c r="Y16" s="1" t="str">
        <f>IF(AND(15&gt;=10,15&lt;10+2),1,"")</f>
        <v/>
      </c>
      <c r="Z16" s="26" t="str">
        <f>IF(AND(16&gt;=10,16&lt;10+2),1,"")</f>
        <v/>
      </c>
    </row>
    <row r="17" spans="1:26">
      <c r="A17" s="24">
        <v>14</v>
      </c>
      <c r="B17" s="1" t="s">
        <v>89</v>
      </c>
      <c r="C17" s="1" t="s">
        <v>90</v>
      </c>
      <c r="D17" s="25">
        <v>46300</v>
      </c>
      <c r="E17" s="25">
        <v>46313</v>
      </c>
      <c r="F17" s="1">
        <v>2</v>
      </c>
      <c r="G17" s="1" t="s">
        <v>54</v>
      </c>
      <c r="H17" s="1" t="s">
        <v>55</v>
      </c>
      <c r="I17" s="1" t="s">
        <v>56</v>
      </c>
      <c r="J17" s="1" t="s">
        <v>91</v>
      </c>
      <c r="K17" s="1" t="str">
        <f>IF(AND(1&gt;=11,1&lt;11+2),1,"")</f>
        <v/>
      </c>
      <c r="L17" s="1" t="str">
        <f>IF(AND(2&gt;=11,2&lt;11+2),1,"")</f>
        <v/>
      </c>
      <c r="M17" s="1" t="str">
        <f>IF(AND(3&gt;=11,3&lt;11+2),1,"")</f>
        <v/>
      </c>
      <c r="N17" s="1" t="str">
        <f>IF(AND(4&gt;=11,4&lt;11+2),1,"")</f>
        <v/>
      </c>
      <c r="O17" s="1" t="str">
        <f>IF(AND(5&gt;=11,5&lt;11+2),1,"")</f>
        <v/>
      </c>
      <c r="P17" s="1" t="str">
        <f>IF(AND(6&gt;=11,6&lt;11+2),1,"")</f>
        <v/>
      </c>
      <c r="Q17" s="1" t="str">
        <f>IF(AND(7&gt;=11,7&lt;11+2),1,"")</f>
        <v/>
      </c>
      <c r="R17" s="1" t="str">
        <f>IF(AND(8&gt;=11,8&lt;11+2),1,"")</f>
        <v/>
      </c>
      <c r="S17" s="1" t="str">
        <f>IF(AND(9&gt;=11,9&lt;11+2),1,"")</f>
        <v/>
      </c>
      <c r="T17" s="1" t="str">
        <f>IF(AND(10&gt;=11,10&lt;11+2),1,"")</f>
        <v/>
      </c>
      <c r="U17" s="1">
        <f>IF(AND(11&gt;=11,11&lt;11+2),1,"")</f>
        <v>1</v>
      </c>
      <c r="V17" s="1">
        <f>IF(AND(12&gt;=11,12&lt;11+2),1,"")</f>
        <v>1</v>
      </c>
      <c r="W17" s="1" t="str">
        <f>IF(AND(13&gt;=11,13&lt;11+2),1,"")</f>
        <v/>
      </c>
      <c r="X17" s="1" t="str">
        <f>IF(AND(14&gt;=11,14&lt;11+2),1,"")</f>
        <v/>
      </c>
      <c r="Y17" s="1" t="str">
        <f>IF(AND(15&gt;=11,15&lt;11+2),1,"")</f>
        <v/>
      </c>
      <c r="Z17" s="26" t="str">
        <f>IF(AND(16&gt;=11,16&lt;11+2),1,"")</f>
        <v/>
      </c>
    </row>
    <row r="18" spans="1:26">
      <c r="A18" s="24">
        <v>15</v>
      </c>
      <c r="B18" s="1" t="s">
        <v>92</v>
      </c>
      <c r="C18" s="1" t="s">
        <v>93</v>
      </c>
      <c r="D18" s="25">
        <v>46307</v>
      </c>
      <c r="E18" s="25">
        <v>46320</v>
      </c>
      <c r="F18" s="1">
        <v>2</v>
      </c>
      <c r="G18" s="1" t="s">
        <v>54</v>
      </c>
      <c r="H18" s="1" t="s">
        <v>55</v>
      </c>
      <c r="I18" s="1" t="s">
        <v>56</v>
      </c>
      <c r="J18" s="1" t="s">
        <v>84</v>
      </c>
      <c r="K18" s="1" t="str">
        <f>IF(AND(1&gt;=12,1&lt;12+2),1,"")</f>
        <v/>
      </c>
      <c r="L18" s="1" t="str">
        <f>IF(AND(2&gt;=12,2&lt;12+2),1,"")</f>
        <v/>
      </c>
      <c r="M18" s="1" t="str">
        <f>IF(AND(3&gt;=12,3&lt;12+2),1,"")</f>
        <v/>
      </c>
      <c r="N18" s="1" t="str">
        <f>IF(AND(4&gt;=12,4&lt;12+2),1,"")</f>
        <v/>
      </c>
      <c r="O18" s="1" t="str">
        <f>IF(AND(5&gt;=12,5&lt;12+2),1,"")</f>
        <v/>
      </c>
      <c r="P18" s="1" t="str">
        <f>IF(AND(6&gt;=12,6&lt;12+2),1,"")</f>
        <v/>
      </c>
      <c r="Q18" s="1" t="str">
        <f>IF(AND(7&gt;=12,7&lt;12+2),1,"")</f>
        <v/>
      </c>
      <c r="R18" s="1" t="str">
        <f>IF(AND(8&gt;=12,8&lt;12+2),1,"")</f>
        <v/>
      </c>
      <c r="S18" s="1" t="str">
        <f>IF(AND(9&gt;=12,9&lt;12+2),1,"")</f>
        <v/>
      </c>
      <c r="T18" s="1" t="str">
        <f>IF(AND(10&gt;=12,10&lt;12+2),1,"")</f>
        <v/>
      </c>
      <c r="U18" s="1" t="str">
        <f>IF(AND(11&gt;=12,11&lt;12+2),1,"")</f>
        <v/>
      </c>
      <c r="V18" s="1">
        <f>IF(AND(12&gt;=12,12&lt;12+2),1,"")</f>
        <v>1</v>
      </c>
      <c r="W18" s="1">
        <f>IF(AND(13&gt;=12,13&lt;12+2),1,"")</f>
        <v>1</v>
      </c>
      <c r="X18" s="1" t="str">
        <f>IF(AND(14&gt;=12,14&lt;12+2),1,"")</f>
        <v/>
      </c>
      <c r="Y18" s="1" t="str">
        <f>IF(AND(15&gt;=12,15&lt;12+2),1,"")</f>
        <v/>
      </c>
      <c r="Z18" s="26" t="str">
        <f>IF(AND(16&gt;=12,16&lt;12+2),1,"")</f>
        <v/>
      </c>
    </row>
    <row r="19" spans="1:26">
      <c r="A19" s="24">
        <v>16</v>
      </c>
      <c r="B19" s="1" t="s">
        <v>92</v>
      </c>
      <c r="C19" s="1" t="s">
        <v>94</v>
      </c>
      <c r="D19" s="25">
        <v>46314</v>
      </c>
      <c r="E19" s="25">
        <v>46327</v>
      </c>
      <c r="F19" s="1">
        <v>2</v>
      </c>
      <c r="G19" s="1" t="s">
        <v>54</v>
      </c>
      <c r="H19" s="1" t="s">
        <v>87</v>
      </c>
      <c r="I19" s="1" t="s">
        <v>56</v>
      </c>
      <c r="J19" s="1" t="s">
        <v>95</v>
      </c>
      <c r="K19" s="1" t="str">
        <f>IF(AND(1&gt;=13,1&lt;13+2),1,"")</f>
        <v/>
      </c>
      <c r="L19" s="1" t="str">
        <f>IF(AND(2&gt;=13,2&lt;13+2),1,"")</f>
        <v/>
      </c>
      <c r="M19" s="1" t="str">
        <f>IF(AND(3&gt;=13,3&lt;13+2),1,"")</f>
        <v/>
      </c>
      <c r="N19" s="1" t="str">
        <f>IF(AND(4&gt;=13,4&lt;13+2),1,"")</f>
        <v/>
      </c>
      <c r="O19" s="1" t="str">
        <f>IF(AND(5&gt;=13,5&lt;13+2),1,"")</f>
        <v/>
      </c>
      <c r="P19" s="1" t="str">
        <f>IF(AND(6&gt;=13,6&lt;13+2),1,"")</f>
        <v/>
      </c>
      <c r="Q19" s="1" t="str">
        <f>IF(AND(7&gt;=13,7&lt;13+2),1,"")</f>
        <v/>
      </c>
      <c r="R19" s="1" t="str">
        <f>IF(AND(8&gt;=13,8&lt;13+2),1,"")</f>
        <v/>
      </c>
      <c r="S19" s="1" t="str">
        <f>IF(AND(9&gt;=13,9&lt;13+2),1,"")</f>
        <v/>
      </c>
      <c r="T19" s="1" t="str">
        <f>IF(AND(10&gt;=13,10&lt;13+2),1,"")</f>
        <v/>
      </c>
      <c r="U19" s="1" t="str">
        <f>IF(AND(11&gt;=13,11&lt;13+2),1,"")</f>
        <v/>
      </c>
      <c r="V19" s="1" t="str">
        <f>IF(AND(12&gt;=13,12&lt;13+2),1,"")</f>
        <v/>
      </c>
      <c r="W19" s="1">
        <f>IF(AND(13&gt;=13,13&lt;13+2),1,"")</f>
        <v>1</v>
      </c>
      <c r="X19" s="1">
        <f>IF(AND(14&gt;=13,14&lt;13+2),1,"")</f>
        <v>1</v>
      </c>
      <c r="Y19" s="1" t="str">
        <f>IF(AND(15&gt;=13,15&lt;13+2),1,"")</f>
        <v/>
      </c>
      <c r="Z19" s="26" t="str">
        <f>IF(AND(16&gt;=13,16&lt;13+2),1,"")</f>
        <v/>
      </c>
    </row>
    <row r="20" spans="1:26" ht="28.5">
      <c r="A20" s="24">
        <v>17</v>
      </c>
      <c r="B20" s="1" t="s">
        <v>96</v>
      </c>
      <c r="C20" s="1" t="s">
        <v>97</v>
      </c>
      <c r="D20" s="25">
        <v>46321</v>
      </c>
      <c r="E20" s="25">
        <v>46334</v>
      </c>
      <c r="F20" s="1">
        <v>2</v>
      </c>
      <c r="G20" s="1" t="s">
        <v>54</v>
      </c>
      <c r="H20" s="1" t="s">
        <v>55</v>
      </c>
      <c r="I20" s="1" t="s">
        <v>56</v>
      </c>
      <c r="J20" s="1" t="s">
        <v>98</v>
      </c>
      <c r="K20" s="1" t="str">
        <f>IF(AND(1&gt;=14,1&lt;14+2),1,"")</f>
        <v/>
      </c>
      <c r="L20" s="1" t="str">
        <f>IF(AND(2&gt;=14,2&lt;14+2),1,"")</f>
        <v/>
      </c>
      <c r="M20" s="1" t="str">
        <f>IF(AND(3&gt;=14,3&lt;14+2),1,"")</f>
        <v/>
      </c>
      <c r="N20" s="1" t="str">
        <f>IF(AND(4&gt;=14,4&lt;14+2),1,"")</f>
        <v/>
      </c>
      <c r="O20" s="1" t="str">
        <f>IF(AND(5&gt;=14,5&lt;14+2),1,"")</f>
        <v/>
      </c>
      <c r="P20" s="1" t="str">
        <f>IF(AND(6&gt;=14,6&lt;14+2),1,"")</f>
        <v/>
      </c>
      <c r="Q20" s="1" t="str">
        <f>IF(AND(7&gt;=14,7&lt;14+2),1,"")</f>
        <v/>
      </c>
      <c r="R20" s="1" t="str">
        <f>IF(AND(8&gt;=14,8&lt;14+2),1,"")</f>
        <v/>
      </c>
      <c r="S20" s="1" t="str">
        <f>IF(AND(9&gt;=14,9&lt;14+2),1,"")</f>
        <v/>
      </c>
      <c r="T20" s="1" t="str">
        <f>IF(AND(10&gt;=14,10&lt;14+2),1,"")</f>
        <v/>
      </c>
      <c r="U20" s="1" t="str">
        <f>IF(AND(11&gt;=14,11&lt;14+2),1,"")</f>
        <v/>
      </c>
      <c r="V20" s="1" t="str">
        <f>IF(AND(12&gt;=14,12&lt;14+2),1,"")</f>
        <v/>
      </c>
      <c r="W20" s="1" t="str">
        <f>IF(AND(13&gt;=14,13&lt;14+2),1,"")</f>
        <v/>
      </c>
      <c r="X20" s="1">
        <f>IF(AND(14&gt;=14,14&lt;14+2),1,"")</f>
        <v>1</v>
      </c>
      <c r="Y20" s="1">
        <f>IF(AND(15&gt;=14,15&lt;14+2),1,"")</f>
        <v>1</v>
      </c>
      <c r="Z20" s="26" t="str">
        <f>IF(AND(16&gt;=14,16&lt;14+2),1,"")</f>
        <v/>
      </c>
    </row>
    <row r="21" spans="1:26">
      <c r="A21" s="24">
        <v>18</v>
      </c>
      <c r="B21" s="1" t="s">
        <v>99</v>
      </c>
      <c r="C21" s="1" t="s">
        <v>100</v>
      </c>
      <c r="D21" s="25">
        <v>46328</v>
      </c>
      <c r="E21" s="25">
        <v>46334</v>
      </c>
      <c r="F21" s="1">
        <v>1</v>
      </c>
      <c r="G21" s="1" t="s">
        <v>54</v>
      </c>
      <c r="H21" s="1" t="s">
        <v>55</v>
      </c>
      <c r="I21" s="1" t="s">
        <v>56</v>
      </c>
      <c r="J21" s="1" t="s">
        <v>101</v>
      </c>
      <c r="K21" s="1" t="str">
        <f>IF(AND(1&gt;=15,1&lt;15+1),1,"")</f>
        <v/>
      </c>
      <c r="L21" s="1" t="str">
        <f>IF(AND(2&gt;=15,2&lt;15+1),1,"")</f>
        <v/>
      </c>
      <c r="M21" s="1" t="str">
        <f>IF(AND(3&gt;=15,3&lt;15+1),1,"")</f>
        <v/>
      </c>
      <c r="N21" s="1" t="str">
        <f>IF(AND(4&gt;=15,4&lt;15+1),1,"")</f>
        <v/>
      </c>
      <c r="O21" s="1" t="str">
        <f>IF(AND(5&gt;=15,5&lt;15+1),1,"")</f>
        <v/>
      </c>
      <c r="P21" s="1" t="str">
        <f>IF(AND(6&gt;=15,6&lt;15+1),1,"")</f>
        <v/>
      </c>
      <c r="Q21" s="1" t="str">
        <f>IF(AND(7&gt;=15,7&lt;15+1),1,"")</f>
        <v/>
      </c>
      <c r="R21" s="1" t="str">
        <f>IF(AND(8&gt;=15,8&lt;15+1),1,"")</f>
        <v/>
      </c>
      <c r="S21" s="1" t="str">
        <f>IF(AND(9&gt;=15,9&lt;15+1),1,"")</f>
        <v/>
      </c>
      <c r="T21" s="1" t="str">
        <f>IF(AND(10&gt;=15,10&lt;15+1),1,"")</f>
        <v/>
      </c>
      <c r="U21" s="1" t="str">
        <f>IF(AND(11&gt;=15,11&lt;15+1),1,"")</f>
        <v/>
      </c>
      <c r="V21" s="1" t="str">
        <f>IF(AND(12&gt;=15,12&lt;15+1),1,"")</f>
        <v/>
      </c>
      <c r="W21" s="1" t="str">
        <f>IF(AND(13&gt;=15,13&lt;15+1),1,"")</f>
        <v/>
      </c>
      <c r="X21" s="1" t="str">
        <f>IF(AND(14&gt;=15,14&lt;15+1),1,"")</f>
        <v/>
      </c>
      <c r="Y21" s="1">
        <f>IF(AND(15&gt;=15,15&lt;15+1),1,"")</f>
        <v>1</v>
      </c>
      <c r="Z21" s="26" t="str">
        <f>IF(AND(16&gt;=15,16&lt;15+1),1,"")</f>
        <v/>
      </c>
    </row>
    <row r="22" spans="1:26" ht="28.5">
      <c r="A22" s="24">
        <v>19</v>
      </c>
      <c r="B22" s="1" t="s">
        <v>102</v>
      </c>
      <c r="C22" s="1" t="s">
        <v>103</v>
      </c>
      <c r="D22" s="25">
        <v>46328</v>
      </c>
      <c r="E22" s="25">
        <v>46341</v>
      </c>
      <c r="F22" s="1">
        <v>2</v>
      </c>
      <c r="G22" s="1" t="s">
        <v>54</v>
      </c>
      <c r="H22" s="1" t="s">
        <v>55</v>
      </c>
      <c r="I22" s="1" t="s">
        <v>56</v>
      </c>
      <c r="J22" s="1" t="s">
        <v>104</v>
      </c>
      <c r="K22" s="1" t="str">
        <f>IF(AND(1&gt;=15,1&lt;15+2),1,"")</f>
        <v/>
      </c>
      <c r="L22" s="1" t="str">
        <f>IF(AND(2&gt;=15,2&lt;15+2),1,"")</f>
        <v/>
      </c>
      <c r="M22" s="1" t="str">
        <f>IF(AND(3&gt;=15,3&lt;15+2),1,"")</f>
        <v/>
      </c>
      <c r="N22" s="1" t="str">
        <f>IF(AND(4&gt;=15,4&lt;15+2),1,"")</f>
        <v/>
      </c>
      <c r="O22" s="1" t="str">
        <f>IF(AND(5&gt;=15,5&lt;15+2),1,"")</f>
        <v/>
      </c>
      <c r="P22" s="1" t="str">
        <f>IF(AND(6&gt;=15,6&lt;15+2),1,"")</f>
        <v/>
      </c>
      <c r="Q22" s="1" t="str">
        <f>IF(AND(7&gt;=15,7&lt;15+2),1,"")</f>
        <v/>
      </c>
      <c r="R22" s="1" t="str">
        <f>IF(AND(8&gt;=15,8&lt;15+2),1,"")</f>
        <v/>
      </c>
      <c r="S22" s="1" t="str">
        <f>IF(AND(9&gt;=15,9&lt;15+2),1,"")</f>
        <v/>
      </c>
      <c r="T22" s="1" t="str">
        <f>IF(AND(10&gt;=15,10&lt;15+2),1,"")</f>
        <v/>
      </c>
      <c r="U22" s="1" t="str">
        <f>IF(AND(11&gt;=15,11&lt;15+2),1,"")</f>
        <v/>
      </c>
      <c r="V22" s="1" t="str">
        <f>IF(AND(12&gt;=15,12&lt;15+2),1,"")</f>
        <v/>
      </c>
      <c r="W22" s="1" t="str">
        <f>IF(AND(13&gt;=15,13&lt;15+2),1,"")</f>
        <v/>
      </c>
      <c r="X22" s="1" t="str">
        <f>IF(AND(14&gt;=15,14&lt;15+2),1,"")</f>
        <v/>
      </c>
      <c r="Y22" s="1">
        <f>IF(AND(15&gt;=15,15&lt;15+2),1,"")</f>
        <v>1</v>
      </c>
      <c r="Z22" s="26">
        <f>IF(AND(16&gt;=15,16&lt;15+2),1,"")</f>
        <v>1</v>
      </c>
    </row>
    <row r="23" spans="1:26">
      <c r="A23" s="27">
        <v>20</v>
      </c>
      <c r="B23" s="28" t="s">
        <v>102</v>
      </c>
      <c r="C23" s="28" t="s">
        <v>105</v>
      </c>
      <c r="D23" s="29">
        <v>46335</v>
      </c>
      <c r="E23" s="29">
        <v>46341</v>
      </c>
      <c r="F23" s="28">
        <v>1</v>
      </c>
      <c r="G23" s="28" t="s">
        <v>54</v>
      </c>
      <c r="H23" s="28" t="s">
        <v>55</v>
      </c>
      <c r="I23" s="28" t="s">
        <v>56</v>
      </c>
      <c r="J23" s="28" t="s">
        <v>106</v>
      </c>
      <c r="K23" s="28" t="str">
        <f>IF(AND(1&gt;=16,1&lt;16+1),1,"")</f>
        <v/>
      </c>
      <c r="L23" s="28" t="str">
        <f>IF(AND(2&gt;=16,2&lt;16+1),1,"")</f>
        <v/>
      </c>
      <c r="M23" s="28" t="str">
        <f>IF(AND(3&gt;=16,3&lt;16+1),1,"")</f>
        <v/>
      </c>
      <c r="N23" s="28" t="str">
        <f>IF(AND(4&gt;=16,4&lt;16+1),1,"")</f>
        <v/>
      </c>
      <c r="O23" s="28" t="str">
        <f>IF(AND(5&gt;=16,5&lt;16+1),1,"")</f>
        <v/>
      </c>
      <c r="P23" s="28" t="str">
        <f>IF(AND(6&gt;=16,6&lt;16+1),1,"")</f>
        <v/>
      </c>
      <c r="Q23" s="28" t="str">
        <f>IF(AND(7&gt;=16,7&lt;16+1),1,"")</f>
        <v/>
      </c>
      <c r="R23" s="28" t="str">
        <f>IF(AND(8&gt;=16,8&lt;16+1),1,"")</f>
        <v/>
      </c>
      <c r="S23" s="28" t="str">
        <f>IF(AND(9&gt;=16,9&lt;16+1),1,"")</f>
        <v/>
      </c>
      <c r="T23" s="28" t="str">
        <f>IF(AND(10&gt;=16,10&lt;16+1),1,"")</f>
        <v/>
      </c>
      <c r="U23" s="28" t="str">
        <f>IF(AND(11&gt;=16,11&lt;16+1),1,"")</f>
        <v/>
      </c>
      <c r="V23" s="28" t="str">
        <f>IF(AND(12&gt;=16,12&lt;16+1),1,"")</f>
        <v/>
      </c>
      <c r="W23" s="28" t="str">
        <f>IF(AND(13&gt;=16,13&lt;16+1),1,"")</f>
        <v/>
      </c>
      <c r="X23" s="28" t="str">
        <f>IF(AND(14&gt;=16,14&lt;16+1),1,"")</f>
        <v/>
      </c>
      <c r="Y23" s="28" t="str">
        <f>IF(AND(15&gt;=16,15&lt;16+1),1,"")</f>
        <v/>
      </c>
      <c r="Z23" s="30">
        <f>IF(AND(16&gt;=16,16&lt;16+1),1,"")</f>
        <v>1</v>
      </c>
    </row>
  </sheetData>
  <mergeCells count="1">
    <mergeCell ref="A1:Z1"/>
  </mergeCells>
  <conditionalFormatting sqref="I4:I23">
    <cfRule type="expression" dxfId="2" priority="2">
      <formula>I4="Concluído"</formula>
    </cfRule>
    <cfRule type="expression" dxfId="1" priority="3">
      <formula>I4="Em andamento"</formula>
    </cfRule>
    <cfRule type="expression" dxfId="0" priority="4">
      <formula>I4="Bloqueado"</formula>
    </cfRule>
  </conditionalFormatting>
  <dataValidations count="2">
    <dataValidation type="list" sqref="H4:H23" xr:uid="{00000000-0002-0000-0100-000000000000}">
      <formula1>"Alta,Média,Baixa"</formula1>
    </dataValidation>
    <dataValidation type="list" sqref="I4:I23" xr:uid="{00000000-0002-0000-0100-000001000000}">
      <formula1>"Não iniciado,Em andamento,Concluído,Bloqueado"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/>
  </sheetViews>
  <sheetFormatPr defaultRowHeight="14.25"/>
  <cols>
    <col min="1" max="1" width="6" customWidth="1"/>
    <col min="2" max="2" width="48" customWidth="1"/>
    <col min="3" max="3" width="18" customWidth="1"/>
    <col min="4" max="4" width="38" customWidth="1"/>
    <col min="5" max="6" width="14" customWidth="1"/>
    <col min="7" max="8" width="12" customWidth="1"/>
    <col min="9" max="9" width="28" customWidth="1"/>
    <col min="10" max="10" width="36" customWidth="1"/>
  </cols>
  <sheetData>
    <row r="1" spans="1:10" ht="20.25">
      <c r="A1" s="40" t="s">
        <v>107</v>
      </c>
      <c r="B1" s="40"/>
      <c r="C1" s="40"/>
      <c r="D1" s="40"/>
      <c r="E1" s="40"/>
      <c r="F1" s="40"/>
      <c r="G1" s="40"/>
      <c r="H1" s="40"/>
      <c r="I1" s="40"/>
      <c r="J1" s="40"/>
    </row>
    <row r="3" spans="1:10" ht="30">
      <c r="A3" s="4" t="s">
        <v>26</v>
      </c>
      <c r="B3" s="4" t="s">
        <v>108</v>
      </c>
      <c r="C3" s="4" t="s">
        <v>27</v>
      </c>
      <c r="D3" s="4" t="s">
        <v>109</v>
      </c>
      <c r="E3" s="4" t="s">
        <v>33</v>
      </c>
      <c r="F3" s="4" t="s">
        <v>34</v>
      </c>
      <c r="G3" s="4" t="s">
        <v>110</v>
      </c>
      <c r="H3" s="4" t="s">
        <v>111</v>
      </c>
      <c r="I3" s="4" t="s">
        <v>112</v>
      </c>
      <c r="J3" s="4" t="s">
        <v>113</v>
      </c>
    </row>
    <row r="4" spans="1:10" ht="28.5">
      <c r="A4" s="1">
        <v>1</v>
      </c>
      <c r="B4" s="1" t="s">
        <v>53</v>
      </c>
      <c r="C4" s="1" t="s">
        <v>52</v>
      </c>
      <c r="D4" s="1" t="s">
        <v>114</v>
      </c>
      <c r="E4" s="1" t="s">
        <v>55</v>
      </c>
      <c r="F4" s="1" t="s">
        <v>56</v>
      </c>
      <c r="G4" s="31">
        <v>0</v>
      </c>
      <c r="H4" s="1">
        <v>1</v>
      </c>
      <c r="I4" s="1"/>
      <c r="J4" s="1"/>
    </row>
    <row r="5" spans="1:10" ht="28.5">
      <c r="A5" s="1">
        <v>2</v>
      </c>
      <c r="B5" s="1" t="s">
        <v>57</v>
      </c>
      <c r="C5" s="1" t="s">
        <v>52</v>
      </c>
      <c r="D5" s="1" t="s">
        <v>114</v>
      </c>
      <c r="E5" s="1" t="s">
        <v>55</v>
      </c>
      <c r="F5" s="1" t="s">
        <v>56</v>
      </c>
      <c r="G5" s="31">
        <v>0</v>
      </c>
      <c r="H5" s="1">
        <v>1</v>
      </c>
      <c r="I5" s="1"/>
      <c r="J5" s="1"/>
    </row>
    <row r="6" spans="1:10" ht="28.5">
      <c r="A6" s="1">
        <v>3</v>
      </c>
      <c r="B6" s="1" t="s">
        <v>59</v>
      </c>
      <c r="C6" s="1" t="s">
        <v>52</v>
      </c>
      <c r="D6" s="1" t="s">
        <v>114</v>
      </c>
      <c r="E6" s="1" t="s">
        <v>55</v>
      </c>
      <c r="F6" s="1" t="s">
        <v>56</v>
      </c>
      <c r="G6" s="31">
        <v>0</v>
      </c>
      <c r="H6" s="1">
        <v>1</v>
      </c>
      <c r="I6" s="1"/>
      <c r="J6" s="1"/>
    </row>
    <row r="7" spans="1:10" ht="28.5">
      <c r="A7" s="1">
        <v>4</v>
      </c>
      <c r="B7" s="1" t="s">
        <v>62</v>
      </c>
      <c r="C7" s="1" t="s">
        <v>61</v>
      </c>
      <c r="D7" s="1" t="s">
        <v>115</v>
      </c>
      <c r="E7" s="1" t="s">
        <v>55</v>
      </c>
      <c r="F7" s="1" t="s">
        <v>56</v>
      </c>
      <c r="G7" s="31">
        <v>0</v>
      </c>
      <c r="H7" s="1">
        <v>2</v>
      </c>
      <c r="I7" s="1"/>
      <c r="J7" s="1"/>
    </row>
    <row r="8" spans="1:10" ht="28.5">
      <c r="A8" s="1">
        <v>5</v>
      </c>
      <c r="B8" s="1" t="s">
        <v>64</v>
      </c>
      <c r="C8" s="1" t="s">
        <v>61</v>
      </c>
      <c r="D8" s="1" t="s">
        <v>115</v>
      </c>
      <c r="E8" s="1" t="s">
        <v>55</v>
      </c>
      <c r="F8" s="1" t="s">
        <v>56</v>
      </c>
      <c r="G8" s="31">
        <v>0</v>
      </c>
      <c r="H8" s="1">
        <v>2</v>
      </c>
      <c r="I8" s="1"/>
      <c r="J8" s="1"/>
    </row>
    <row r="9" spans="1:10">
      <c r="A9" s="1">
        <v>6</v>
      </c>
      <c r="B9" s="1" t="s">
        <v>67</v>
      </c>
      <c r="C9" s="1" t="s">
        <v>66</v>
      </c>
      <c r="D9" s="1" t="s">
        <v>116</v>
      </c>
      <c r="E9" s="1" t="s">
        <v>55</v>
      </c>
      <c r="F9" s="1" t="s">
        <v>56</v>
      </c>
      <c r="G9" s="31">
        <v>0</v>
      </c>
      <c r="H9" s="1">
        <v>4</v>
      </c>
      <c r="I9" s="1"/>
      <c r="J9" s="1"/>
    </row>
    <row r="10" spans="1:10">
      <c r="A10" s="1">
        <v>7</v>
      </c>
      <c r="B10" s="1" t="s">
        <v>69</v>
      </c>
      <c r="C10" s="1" t="s">
        <v>66</v>
      </c>
      <c r="D10" s="1" t="s">
        <v>116</v>
      </c>
      <c r="E10" s="1" t="s">
        <v>55</v>
      </c>
      <c r="F10" s="1" t="s">
        <v>56</v>
      </c>
      <c r="G10" s="31">
        <v>0</v>
      </c>
      <c r="H10" s="1">
        <v>5</v>
      </c>
      <c r="I10" s="1"/>
      <c r="J10" s="1"/>
    </row>
    <row r="11" spans="1:10">
      <c r="A11" s="1">
        <v>8</v>
      </c>
      <c r="B11" s="1" t="s">
        <v>72</v>
      </c>
      <c r="C11" s="1" t="s">
        <v>71</v>
      </c>
      <c r="D11" s="1" t="s">
        <v>117</v>
      </c>
      <c r="E11" s="1" t="s">
        <v>55</v>
      </c>
      <c r="F11" s="1" t="s">
        <v>56</v>
      </c>
      <c r="G11" s="31">
        <v>0</v>
      </c>
      <c r="H11" s="1">
        <v>6</v>
      </c>
      <c r="I11" s="1"/>
      <c r="J11" s="1"/>
    </row>
    <row r="12" spans="1:10">
      <c r="A12" s="1">
        <v>9</v>
      </c>
      <c r="B12" s="1" t="s">
        <v>75</v>
      </c>
      <c r="C12" s="1" t="s">
        <v>74</v>
      </c>
      <c r="D12" s="1" t="s">
        <v>118</v>
      </c>
      <c r="E12" s="1" t="s">
        <v>55</v>
      </c>
      <c r="F12" s="1" t="s">
        <v>56</v>
      </c>
      <c r="G12" s="31">
        <v>0</v>
      </c>
      <c r="H12" s="1">
        <v>6</v>
      </c>
      <c r="I12" s="1"/>
      <c r="J12" s="1"/>
    </row>
    <row r="13" spans="1:10" ht="28.5">
      <c r="A13" s="1">
        <v>10</v>
      </c>
      <c r="B13" s="1" t="s">
        <v>78</v>
      </c>
      <c r="C13" s="1" t="s">
        <v>77</v>
      </c>
      <c r="D13" s="1" t="s">
        <v>119</v>
      </c>
      <c r="E13" s="1" t="s">
        <v>55</v>
      </c>
      <c r="F13" s="1" t="s">
        <v>56</v>
      </c>
      <c r="G13" s="31">
        <v>0</v>
      </c>
      <c r="H13" s="1">
        <v>8</v>
      </c>
      <c r="I13" s="1"/>
      <c r="J13" s="1"/>
    </row>
    <row r="14" spans="1:10" ht="28.5">
      <c r="A14" s="1">
        <v>11</v>
      </c>
      <c r="B14" s="1" t="s">
        <v>80</v>
      </c>
      <c r="C14" s="1" t="s">
        <v>77</v>
      </c>
      <c r="D14" s="1" t="s">
        <v>119</v>
      </c>
      <c r="E14" s="1" t="s">
        <v>55</v>
      </c>
      <c r="F14" s="1" t="s">
        <v>56</v>
      </c>
      <c r="G14" s="31">
        <v>0</v>
      </c>
      <c r="H14" s="1">
        <v>9</v>
      </c>
      <c r="I14" s="1"/>
      <c r="J14" s="1"/>
    </row>
    <row r="15" spans="1:10" ht="28.5">
      <c r="A15" s="1">
        <v>12</v>
      </c>
      <c r="B15" s="1" t="s">
        <v>83</v>
      </c>
      <c r="C15" s="1" t="s">
        <v>82</v>
      </c>
      <c r="D15" s="1" t="s">
        <v>120</v>
      </c>
      <c r="E15" s="1" t="s">
        <v>55</v>
      </c>
      <c r="F15" s="1" t="s">
        <v>56</v>
      </c>
      <c r="G15" s="31">
        <v>0</v>
      </c>
      <c r="H15" s="1">
        <v>10</v>
      </c>
      <c r="I15" s="1"/>
      <c r="J15" s="1"/>
    </row>
    <row r="16" spans="1:10">
      <c r="A16" s="1">
        <v>13</v>
      </c>
      <c r="B16" s="1" t="s">
        <v>86</v>
      </c>
      <c r="C16" s="1" t="s">
        <v>85</v>
      </c>
      <c r="D16" s="1" t="s">
        <v>121</v>
      </c>
      <c r="E16" s="1" t="s">
        <v>87</v>
      </c>
      <c r="F16" s="1" t="s">
        <v>56</v>
      </c>
      <c r="G16" s="31">
        <v>0</v>
      </c>
      <c r="H16" s="1">
        <v>11</v>
      </c>
      <c r="I16" s="1"/>
      <c r="J16" s="1"/>
    </row>
    <row r="17" spans="1:10">
      <c r="A17" s="1">
        <v>14</v>
      </c>
      <c r="B17" s="1" t="s">
        <v>90</v>
      </c>
      <c r="C17" s="1" t="s">
        <v>89</v>
      </c>
      <c r="D17" s="1" t="s">
        <v>122</v>
      </c>
      <c r="E17" s="1" t="s">
        <v>55</v>
      </c>
      <c r="F17" s="1" t="s">
        <v>56</v>
      </c>
      <c r="G17" s="31">
        <v>0</v>
      </c>
      <c r="H17" s="1">
        <v>12</v>
      </c>
      <c r="I17" s="1"/>
      <c r="J17" s="1"/>
    </row>
    <row r="18" spans="1:10">
      <c r="A18" s="1">
        <v>15</v>
      </c>
      <c r="B18" s="1" t="s">
        <v>93</v>
      </c>
      <c r="C18" s="1" t="s">
        <v>92</v>
      </c>
      <c r="D18" s="1" t="s">
        <v>123</v>
      </c>
      <c r="E18" s="1" t="s">
        <v>55</v>
      </c>
      <c r="F18" s="1" t="s">
        <v>56</v>
      </c>
      <c r="G18" s="31">
        <v>0</v>
      </c>
      <c r="H18" s="1">
        <v>13</v>
      </c>
      <c r="I18" s="1"/>
      <c r="J18" s="1"/>
    </row>
    <row r="19" spans="1:10">
      <c r="A19" s="1">
        <v>16</v>
      </c>
      <c r="B19" s="1" t="s">
        <v>94</v>
      </c>
      <c r="C19" s="1" t="s">
        <v>92</v>
      </c>
      <c r="D19" s="1" t="s">
        <v>123</v>
      </c>
      <c r="E19" s="1" t="s">
        <v>87</v>
      </c>
      <c r="F19" s="1" t="s">
        <v>56</v>
      </c>
      <c r="G19" s="31">
        <v>0</v>
      </c>
      <c r="H19" s="1">
        <v>14</v>
      </c>
      <c r="I19" s="1"/>
      <c r="J19" s="1"/>
    </row>
    <row r="20" spans="1:10" ht="28.5">
      <c r="A20" s="1">
        <v>17</v>
      </c>
      <c r="B20" s="1" t="s">
        <v>97</v>
      </c>
      <c r="C20" s="1" t="s">
        <v>96</v>
      </c>
      <c r="D20" s="1" t="s">
        <v>124</v>
      </c>
      <c r="E20" s="1" t="s">
        <v>55</v>
      </c>
      <c r="F20" s="1" t="s">
        <v>56</v>
      </c>
      <c r="G20" s="31">
        <v>0</v>
      </c>
      <c r="H20" s="1">
        <v>15</v>
      </c>
      <c r="I20" s="1"/>
      <c r="J20" s="1"/>
    </row>
    <row r="21" spans="1:10">
      <c r="A21" s="1">
        <v>18</v>
      </c>
      <c r="B21" s="1" t="s">
        <v>100</v>
      </c>
      <c r="C21" s="1" t="s">
        <v>99</v>
      </c>
      <c r="D21" s="1" t="s">
        <v>125</v>
      </c>
      <c r="E21" s="1" t="s">
        <v>55</v>
      </c>
      <c r="F21" s="1" t="s">
        <v>56</v>
      </c>
      <c r="G21" s="31">
        <v>0</v>
      </c>
      <c r="H21" s="1">
        <v>15</v>
      </c>
      <c r="I21" s="1"/>
      <c r="J21" s="1"/>
    </row>
    <row r="22" spans="1:10" ht="28.5">
      <c r="A22" s="1">
        <v>19</v>
      </c>
      <c r="B22" s="1" t="s">
        <v>103</v>
      </c>
      <c r="C22" s="1" t="s">
        <v>102</v>
      </c>
      <c r="D22" s="1" t="s">
        <v>126</v>
      </c>
      <c r="E22" s="1" t="s">
        <v>55</v>
      </c>
      <c r="F22" s="1" t="s">
        <v>56</v>
      </c>
      <c r="G22" s="31">
        <v>0</v>
      </c>
      <c r="H22" s="1">
        <v>16</v>
      </c>
      <c r="I22" s="1"/>
      <c r="J22" s="1"/>
    </row>
    <row r="23" spans="1:10" ht="28.5">
      <c r="A23" s="1">
        <v>20</v>
      </c>
      <c r="B23" s="1" t="s">
        <v>105</v>
      </c>
      <c r="C23" s="1" t="s">
        <v>102</v>
      </c>
      <c r="D23" s="1" t="s">
        <v>126</v>
      </c>
      <c r="E23" s="1" t="s">
        <v>55</v>
      </c>
      <c r="F23" s="1" t="s">
        <v>56</v>
      </c>
      <c r="G23" s="31">
        <v>0</v>
      </c>
      <c r="H23" s="1">
        <v>16</v>
      </c>
      <c r="I23" s="1"/>
      <c r="J23" s="1"/>
    </row>
  </sheetData>
  <mergeCells count="1">
    <mergeCell ref="A1:J1"/>
  </mergeCells>
  <conditionalFormatting sqref="G4:G23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{9F45C56D-E036-934D-9FE8-71AD454E927B}</x14:id>
        </ext>
      </extLst>
    </cfRule>
  </conditionalFormatting>
  <dataValidations count="3">
    <dataValidation type="list" sqref="E4:E23" xr:uid="{00000000-0002-0000-0200-000000000000}">
      <formula1>"Alta,Média,Baixa"</formula1>
    </dataValidation>
    <dataValidation type="list" sqref="F4:F23" xr:uid="{00000000-0002-0000-0200-000001000000}">
      <formula1>"Não iniciado,Em andamento,Concluído,Bloqueado"</formula1>
    </dataValidation>
    <dataValidation sqref="G4:G23" xr:uid="{00000000-0002-0000-0200-000002000000}">
      <formula1>0</formula1>
      <formula2>100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45C56D-E036-934D-9FE8-71AD454E927B}">
            <x14:dataBar>
              <x14:cfvo type="min"/>
              <x14:cfvo type="max"/>
              <x14:negativeFillColor auto="1"/>
              <x14:axisColor auto="1"/>
            </x14:dataBar>
          </x14:cfRule>
          <xm:sqref>G4:G23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defaultRowHeight="14.25"/>
  <cols>
    <col min="1" max="1" width="8" customWidth="1"/>
    <col min="2" max="2" width="38" customWidth="1"/>
    <col min="3" max="3" width="18" customWidth="1"/>
    <col min="4" max="4" width="16" customWidth="1"/>
    <col min="5" max="5" width="22" customWidth="1"/>
    <col min="6" max="6" width="42" customWidth="1"/>
  </cols>
  <sheetData>
    <row r="1" spans="1:6" ht="20.25">
      <c r="A1" s="40" t="s">
        <v>127</v>
      </c>
      <c r="B1" s="40"/>
      <c r="C1" s="40"/>
      <c r="D1" s="40"/>
      <c r="E1" s="40"/>
      <c r="F1" s="40"/>
    </row>
    <row r="3" spans="1:6" ht="15">
      <c r="A3" s="32" t="s">
        <v>128</v>
      </c>
      <c r="B3" s="33" t="s">
        <v>129</v>
      </c>
      <c r="C3" s="33" t="s">
        <v>130</v>
      </c>
      <c r="D3" s="33" t="s">
        <v>131</v>
      </c>
      <c r="E3" s="33" t="s">
        <v>132</v>
      </c>
      <c r="F3" s="34" t="s">
        <v>133</v>
      </c>
    </row>
    <row r="4" spans="1:6">
      <c r="A4" s="24">
        <v>1</v>
      </c>
      <c r="B4" s="1" t="s">
        <v>134</v>
      </c>
      <c r="C4" s="1" t="s">
        <v>135</v>
      </c>
      <c r="D4" s="1" t="s">
        <v>136</v>
      </c>
      <c r="E4" s="1" t="s">
        <v>137</v>
      </c>
      <c r="F4" s="26" t="s">
        <v>138</v>
      </c>
    </row>
    <row r="5" spans="1:6">
      <c r="A5" s="24">
        <v>2</v>
      </c>
      <c r="B5" s="1" t="s">
        <v>139</v>
      </c>
      <c r="C5" s="1" t="s">
        <v>135</v>
      </c>
      <c r="D5" s="1" t="s">
        <v>136</v>
      </c>
      <c r="E5" s="1" t="s">
        <v>140</v>
      </c>
      <c r="F5" s="26" t="s">
        <v>141</v>
      </c>
    </row>
    <row r="6" spans="1:6">
      <c r="A6" s="24">
        <v>3</v>
      </c>
      <c r="B6" s="1" t="s">
        <v>142</v>
      </c>
      <c r="C6" s="1" t="s">
        <v>143</v>
      </c>
      <c r="D6" s="1" t="s">
        <v>144</v>
      </c>
      <c r="E6" s="1" t="s">
        <v>140</v>
      </c>
      <c r="F6" s="26" t="s">
        <v>145</v>
      </c>
    </row>
    <row r="7" spans="1:6" ht="28.5">
      <c r="A7" s="24">
        <v>4</v>
      </c>
      <c r="B7" s="1" t="s">
        <v>146</v>
      </c>
      <c r="C7" s="1" t="s">
        <v>147</v>
      </c>
      <c r="D7" s="1" t="s">
        <v>148</v>
      </c>
      <c r="E7" s="1" t="s">
        <v>137</v>
      </c>
      <c r="F7" s="26" t="s">
        <v>149</v>
      </c>
    </row>
    <row r="8" spans="1:6" ht="28.5">
      <c r="A8" s="24">
        <v>5</v>
      </c>
      <c r="B8" s="1" t="s">
        <v>150</v>
      </c>
      <c r="C8" s="1" t="s">
        <v>151</v>
      </c>
      <c r="D8" s="1" t="s">
        <v>152</v>
      </c>
      <c r="E8" s="1" t="s">
        <v>153</v>
      </c>
      <c r="F8" s="26" t="s">
        <v>154</v>
      </c>
    </row>
    <row r="9" spans="1:6">
      <c r="A9" s="27">
        <v>6</v>
      </c>
      <c r="B9" s="28" t="s">
        <v>155</v>
      </c>
      <c r="C9" s="28" t="s">
        <v>156</v>
      </c>
      <c r="D9" s="28" t="s">
        <v>148</v>
      </c>
      <c r="E9" s="28" t="s">
        <v>157</v>
      </c>
      <c r="F9" s="30" t="s">
        <v>158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Visão Geral</vt:lpstr>
      <vt:lpstr>Cronograma Gantt</vt:lpstr>
      <vt:lpstr>Backlog</vt:lpstr>
      <vt:lpstr>Guia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Soares dos Santos</dc:creator>
  <cp:lastModifiedBy>Rodrigo Soares dos Santos</cp:lastModifiedBy>
  <dcterms:created xsi:type="dcterms:W3CDTF">2026-07-23T19:32:27Z</dcterms:created>
  <dcterms:modified xsi:type="dcterms:W3CDTF">2026-07-23T19:32:27Z</dcterms:modified>
</cp:coreProperties>
</file>